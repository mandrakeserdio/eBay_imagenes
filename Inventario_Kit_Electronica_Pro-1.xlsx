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b38a26811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155c2e4bbab4c3a"/>
    <x:sheet xmlns:r="http://schemas.openxmlformats.org/officeDocument/2006/relationships" name="Inventario Maestro" sheetId="2" r:id="R953f235176084524"/>
    <x:sheet xmlns:r="http://schemas.openxmlformats.org/officeDocument/2006/relationships" name="Capacitores" sheetId="3" r:id="Ra8840fcd83f34800"/>
    <x:sheet xmlns:r="http://schemas.openxmlformats.org/officeDocument/2006/relationships" name="Resistencias" sheetId="4" r:id="R8c48a193968b41f0"/>
    <x:sheet xmlns:r="http://schemas.openxmlformats.org/officeDocument/2006/relationships" name="Transistores" sheetId="5" r:id="R59bea5f644114ee0"/>
    <x:sheet xmlns:r="http://schemas.openxmlformats.org/officeDocument/2006/relationships" name="ICs" sheetId="6" r:id="R37f4ffdbef984342"/>
    <x:sheet xmlns:r="http://schemas.openxmlformats.org/officeDocument/2006/relationships" name="LEDs" sheetId="7" r:id="R7793eff3c68d482e"/>
    <x:sheet xmlns:r="http://schemas.openxmlformats.org/officeDocument/2006/relationships" name="Diodos" sheetId="8" r:id="R6482c886b0c943ef"/>
    <x:sheet xmlns:r="http://schemas.openxmlformats.org/officeDocument/2006/relationships" name="Componentes" sheetId="9" r:id="R121e036fba73451a"/>
    <x:sheet xmlns:r="http://schemas.openxmlformats.org/officeDocument/2006/relationships" name="Audio DIY" sheetId="10" r:id="R173aa5fc879f475d"/>
    <x:sheet xmlns:r="http://schemas.openxmlformats.org/officeDocument/2006/relationships" name="BOM_Automatica" sheetId="11" r:id="Ra5c749f2db38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369A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991B1B"/>
      </x:font>
      <x:fill>
        <x:patternFill patternType="solid">
          <x:bgColor rgb="FECACA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487f5ff2644c8" /><Relationship Type="http://schemas.openxmlformats.org/officeDocument/2006/relationships/theme" Target="/xl/theme/theme1.xml" Id="Rbca3db3851cf48ba" /><Relationship Type="http://schemas.openxmlformats.org/officeDocument/2006/relationships/sharedStrings" Target="/xl/sharedStrings.xml" Id="R443bf293720944c4" /><Relationship Type="http://schemas.openxmlformats.org/officeDocument/2006/relationships/worksheet" Target="/xl/worksheets/sheet1.xml" Id="R3155c2e4bbab4c3a" /><Relationship Type="http://schemas.openxmlformats.org/officeDocument/2006/relationships/worksheet" Target="/xl/worksheets/sheet2.xml" Id="R953f235176084524" /><Relationship Type="http://schemas.openxmlformats.org/officeDocument/2006/relationships/worksheet" Target="/xl/worksheets/sheet3.xml" Id="Ra8840fcd83f34800" /><Relationship Type="http://schemas.openxmlformats.org/officeDocument/2006/relationships/worksheet" Target="/xl/worksheets/sheet4.xml" Id="R8c48a193968b41f0" /><Relationship Type="http://schemas.openxmlformats.org/officeDocument/2006/relationships/worksheet" Target="/xl/worksheets/sheet5.xml" Id="R59bea5f644114ee0" /><Relationship Type="http://schemas.openxmlformats.org/officeDocument/2006/relationships/worksheet" Target="/xl/worksheets/sheet6.xml" Id="R37f4ffdbef984342" /><Relationship Type="http://schemas.openxmlformats.org/officeDocument/2006/relationships/worksheet" Target="/xl/worksheets/sheet7.xml" Id="R7793eff3c68d482e" /><Relationship Type="http://schemas.openxmlformats.org/officeDocument/2006/relationships/worksheet" Target="/xl/worksheets/sheet8.xml" Id="R6482c886b0c943ef" /><Relationship Type="http://schemas.openxmlformats.org/officeDocument/2006/relationships/worksheet" Target="/xl/worksheets/sheet9.xml" Id="R121e036fba73451a" /><Relationship Type="http://schemas.openxmlformats.org/officeDocument/2006/relationships/worksheet" Target="/xl/worksheets/sheet10.xml" Id="R173aa5fc879f475d" /><Relationship Type="http://schemas.openxmlformats.org/officeDocument/2006/relationships/worksheet" Target="/xl/worksheets/sheet11.xml" Id="Ra5c749f2db38419a" /></Relationships>
</file>

<file path=xl/tables/table1.xml><?xml version="1.0" encoding="utf-8"?>
<x:table xmlns:x="http://schemas.openxmlformats.org/spreadsheetml/2006/main" id="1" name="InventarioTable" displayName="InventarioTable" ref="A1:I153" headerRowCount="1">
  <x:tableColumns count="9">
    <x:tableColumn id="1" name="Categoría"/>
    <x:tableColumn id="2" name="Parte/Valor"/>
    <x:tableColumn id="3" name="Código/Tipo"/>
    <x:tableColumn id="4" name="Cantidad"/>
    <x:tableColumn id="5" name="Paquete/Formato"/>
    <x:tableColumn id="6" name="Uso típico"/>
    <x:tableColumn id="7" name="Stock usado"/>
    <x:tableColumn id="8" name="Stock restante"/>
    <x:tableColumn id="9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CapacitoresTable" displayName="CapacitoresTable" ref="A1:F44" headerRowCount="1">
  <x:tableColumns count="6">
    <x:tableColumn id="1" name="Categoría"/>
    <x:tableColumn id="2" name="Valor"/>
    <x:tableColumn id="3" name="Código/Voltaje"/>
    <x:tableColumn id="4" name="Cantidad"/>
    <x:tableColumn id="5" name="Tipo"/>
    <x:tableColumn id="6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ResistenciasTable" displayName="ResistenciasTable" ref="A1:F51" headerRowCount="1">
  <x:tableColumns count="6">
    <x:tableColumn id="1" name="Categoría"/>
    <x:tableColumn id="2" name="Valor"/>
    <x:tableColumn id="3" name="Código"/>
    <x:tableColumn id="4" name="Cantidad"/>
    <x:tableColumn id="5" name="Tipo"/>
    <x:tableColumn id="6" name="Uso"/>
  </x:tableColumns>
  <x:tableStyleInfo name="TableStyleMedium2" showRowStripes="1"/>
</x:table>
</file>

<file path=xl/tables/table4.xml><?xml version="1.0" encoding="utf-8"?>
<x:table xmlns:x="http://schemas.openxmlformats.org/spreadsheetml/2006/main" id="4" name="TransistoresTable" displayName="TransistoresTable" ref="A1:F18" headerRowCount="1">
  <x:tableColumns count="6">
    <x:tableColumn id="1" name="Categoría"/>
    <x:tableColumn id="2" name="Modelo"/>
    <x:tableColumn id="3" name="Tipo"/>
    <x:tableColumn id="4" name="Cantidad"/>
    <x:tableColumn id="5" name="Paquete"/>
    <x:tableColumn id="6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ICsTable" displayName="ICsTable" ref="A1:F4" headerRowCount="1">
  <x:tableColumns count="6">
    <x:tableColumn id="1" name="Categoría"/>
    <x:tableColumn id="2" name="Modelo"/>
    <x:tableColumn id="3" name="Descripción"/>
    <x:tableColumn id="4" name="Cantidad"/>
    <x:tableColumn id="5" name="Paquete"/>
    <x:tableColumn id="6" name="Uso"/>
  </x:tableColumns>
  <x:tableStyleInfo name="TableStyleMedium2" showRowStripes="1"/>
</x:table>
</file>

<file path=xl/tables/table6.xml><?xml version="1.0" encoding="utf-8"?>
<x:table xmlns:x="http://schemas.openxmlformats.org/spreadsheetml/2006/main" id="6" name="LEDsTable" displayName="LEDsTable" ref="A1:F11" headerRowCount="1">
  <x:tableColumns count="6">
    <x:tableColumn id="1" name="Categoría"/>
    <x:tableColumn id="2" name="Tamaño"/>
    <x:tableColumn id="3" name="Color"/>
    <x:tableColumn id="4" name="Cantidad"/>
    <x:tableColumn id="5" name="Tipo"/>
    <x:tableColumn id="6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DiodosTable" displayName="DiodosTable" ref="A1:F10" headerRowCount="1">
  <x:tableColumns count="6">
    <x:tableColumn id="1" name="Categoría"/>
    <x:tableColumn id="2" name="Modelo"/>
    <x:tableColumn id="3" name="Tipo"/>
    <x:tableColumn id="4" name="Cantidad"/>
    <x:tableColumn id="5" name="Paquete"/>
    <x:tableColumn id="6" name="Uso"/>
  </x:tableColumns>
  <x:tableStyleInfo name="TableStyleMedium2" showRowStripes="1"/>
</x:table>
</file>

<file path=xl/tables/table8.xml><?xml version="1.0" encoding="utf-8"?>
<x:table xmlns:x="http://schemas.openxmlformats.org/spreadsheetml/2006/main" id="8" name="ComponentesTable" displayName="ComponentesTable" ref="A1:F21" headerRowCount="1">
  <x:tableColumns count="6">
    <x:tableColumn id="1" name="Categoría"/>
    <x:tableColumn id="2" name="Componente"/>
    <x:tableColumn id="3" name="Especificación"/>
    <x:tableColumn id="4" name="Cantidad"/>
    <x:tableColumn id="5" name="Tipo"/>
    <x:tableColumn id="6" name="Uso"/>
  </x:tableColumns>
  <x:tableStyleInfo name="TableStyleMedium2" showRowStripes="1"/>
</x:table>
</file>

<file path=xl/tables/table9.xml><?xml version="1.0" encoding="utf-8"?>
<x:table xmlns:x="http://schemas.openxmlformats.org/spreadsheetml/2006/main" id="9" name="AudioDIYTable" displayName="AudioDIYTable" ref="A1:D13" headerRowCount="1">
  <x:tableColumns count="4">
    <x:tableColumn id="1" name="Proyecto"/>
    <x:tableColumn id="2" name="Componente"/>
    <x:tableColumn id="3" name="Uso recomendado"/>
    <x:tableColumn id="4" name="Cantidad disponible"/>
  </x:tableColumns>
  <x:tableStyleInfo name="TableStyleMedium2" showRowStripes="1"/>
</x:table>
</file>

<file path=xl/tables/table10.xml><?xml version="1.0" encoding="utf-8"?>
<x:table xmlns:x="http://schemas.openxmlformats.org/spreadsheetml/2006/main" id="10" name="BOMTable" displayName="BOMTable" ref="A1:H7" headerRowCount="1">
  <x:tableColumns count="8">
    <x:tableColumn id="1" name="Proyecto"/>
    <x:tableColumn id="2" name="Componente"/>
    <x:tableColumn id="3" name="Valor/Modelo"/>
    <x:tableColumn id="4" name="Cantidad requerida"/>
    <x:tableColumn id="5" name="Disponible"/>
    <x:tableColumn id="6" name="OK"/>
    <x:tableColumn id="7" name="Notas"/>
    <x:tableColumn id="8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2b508b8c7d4c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d96254cb6a4e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b3dd0dccb641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e8e524f964f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5b186a67644d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334736e6ef4a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c9c927dfb64d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388800e2eb47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ff844780c841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f283ad4cd24ae3" /></Relationships>
</file>

<file path=xl/worksheets/sheet1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9.420000076293945" hidden="0" customWidth="1"/>
    <x:col min="4" max="4" width="15.210000038146973" hidden="0" customWidth="1"/>
    <x:col min="5" max="5" width="39.029998779296875" hidden="0" customWidth="1"/>
    <x:col min="6" max="6" width="7.539999961853027" hidden="0" customWidth="1"/>
  </x:cols>
  <x:sheetData>
    <x:row r="1">
      <x:c r="A1" s="16" t="str">
        <x:v>Inventario de Kit Electrónico</x:v>
      </x:c>
      <x:c r="B1" s="16"/>
      <x:c r="C1" s="16"/>
      <x:c r="D1" s="16"/>
      <x:c r="E1" s="16"/>
      <x:c r="F1" s="16"/>
    </x:row>
    <x:row r="2">
      <x:c r="A2" t="str">
        <x:v>Revisado visualmente desde foto del kit - 2026-06-11</x:v>
      </x:c>
    </x:row>
    <x:row r="3">
      <x:c r="A3" s="5" t="str">
        <x:v>Categoría</x:v>
      </x:c>
      <x:c r="B3" s="5" t="str">
        <x:v>Total piezas</x:v>
      </x:c>
      <x:c r="D3" s="5" t="str">
        <x:v>Bloque</x:v>
      </x:c>
      <x:c r="E3" s="5" t="str">
        <x:v>Para qué te sirve</x:v>
      </x:c>
      <x:c r="F3" s="5" t="str">
        <x:v>Prioridad</x:v>
      </x:c>
    </x:row>
    <x:row r="4">
      <x:c r="A4" t="str">
        <x:v>Capacitores cerámicos</x:v>
      </x:c>
      <x:c r="B4" t="n">
        <x:f>SUMIF('Inventario Maestro'!A:A,A4,'Inventario Maestro'!D:D)</x:f>
        <x:v>310</x:v>
      </x:c>
      <x:c r="D4" t="str">
        <x:v>Audio básico</x:v>
      </x:c>
      <x:c r="E4" t="str">
        <x:v>JRC4558, C1845, A1015, resistencias, capacitores</x:v>
      </x:c>
      <x:c r="F4" t="str">
        <x:v>Alta</x:v>
      </x:c>
    </x:row>
    <x:row r="5">
      <x:c r="A5" t="str">
        <x:v>Electrolíticos</x:v>
      </x:c>
      <x:c r="B5" t="n">
        <x:f>SUMIF('Inventario Maestro'!A:A,A5,'Inventario Maestro'!D:D)</x:f>
        <x:v>120</x:v>
      </x:c>
      <x:c r="D5" t="str">
        <x:v>Arduino/ESP32</x:v>
      </x:c>
      <x:c r="E5" t="str">
        <x:v>LEDs, 10K, 100nF, NE555</x:v>
      </x:c>
      <x:c r="F5" t="str">
        <x:v>Alta</x:v>
      </x:c>
    </x:row>
    <x:row r="6">
      <x:c r="A6" t="str">
        <x:v>Transistores</x:v>
      </x:c>
      <x:c r="B6" t="n">
        <x:f>SUMIF('Inventario Maestro'!A:A,A6,'Inventario Maestro'!D:D)</x:f>
        <x:v>170</x:v>
      </x:c>
      <x:c r="D6" t="str">
        <x:v>Fuentes</x:v>
      </x:c>
      <x:c r="E6" t="str">
        <x:v>Electrolíticos, 1N4007, 1N5408, Schottky</x:v>
      </x:c>
      <x:c r="F6" t="str">
        <x:v>Media</x:v>
      </x:c>
    </x:row>
    <x:row r="7">
      <x:c r="A7" t="str">
        <x:v>Resistencias 1/4W 1%</x:v>
      </x:c>
      <x:c r="B7" t="n">
        <x:f>SUMIF('Inventario Maestro'!A:A,A7,'Inventario Maestro'!D:D)</x:f>
        <x:v>1000</x:v>
      </x:c>
      <x:c r="D7" t="str">
        <x:v>Protección bocinas</x:v>
      </x:c>
      <x:c r="E7" t="str">
        <x:v>NE555, diodos, transistores, resistencias</x:v>
      </x:c>
      <x:c r="F7" t="str">
        <x:v>Alta</x:v>
      </x:c>
    </x:row>
    <x:row r="8">
      <x:c r="A8" t="str">
        <x:v>Trimpots</x:v>
      </x:c>
      <x:c r="B8" t="n">
        <x:f>SUMIF('Inventario Maestro'!A:A,A8,'Inventario Maestro'!D:D)</x:f>
        <x:v>12</x:v>
      </x:c>
      <x:c r="D8" t="str">
        <x:v>Filtros activos</x:v>
      </x:c>
      <x:c r="E8" t="str">
        <x:v>JRC4558 + capacitores 1nF-100nF</x:v>
      </x:c>
      <x:c r="F8" t="str">
        <x:v>Alta</x:v>
      </x:c>
    </x:row>
    <x:row r="9">
      <x:c r="A9" t="str">
        <x:v>ICs</x:v>
      </x:c>
      <x:c r="B9" t="n">
        <x:f>SUMIF('Inventario Maestro'!A:A,A9,'Inventario Maestro'!D:D)</x:f>
        <x:v>6</x:v>
      </x:c>
      <x:c r="D9" t="str">
        <x:v>VU meter</x:v>
      </x:c>
      <x:c r="E9" t="str">
        <x:v>LM358 + LEDs + diodos</x:v>
      </x:c>
      <x:c r="F9" t="str">
        <x:v>Alta</x:v>
      </x:c>
    </x:row>
    <x:row r="10">
      <x:c r="A10" t="str">
        <x:v>LED</x:v>
      </x:c>
      <x:c r="B10" t="n">
        <x:f>SUMIF('Inventario Maestro'!A:A,A10,'Inventario Maestro'!D:D)</x:f>
        <x:v>200</x:v>
      </x:c>
      <x:c r="D10" t="str">
        <x:v>RF/Oscilador</x:v>
      </x:c>
      <x:c r="E10" t="str">
        <x:v>S9018 + capacitores pF</x:v>
      </x:c>
      <x:c r="F10" t="str">
        <x:v>Media</x:v>
      </x:c>
    </x:row>
    <x:row r="11">
      <x:c r="A11" t="str">
        <x:v>Diodos</x:v>
      </x:c>
      <x:c r="B11" t="n">
        <x:f>SUMIF('Inventario Maestro'!A:A,A11,'Inventario Maestro'!D:D)</x:f>
        <x:v>102</x:v>
      </x:c>
      <x:c r="D11" t="str">
        <x:v>Prototipos</x:v>
      </x:c>
      <x:c r="E11" t="str">
        <x:v>PCB perforadas + jacks</x:v>
      </x:c>
      <x:c r="F11" t="str">
        <x:v>Alta</x:v>
      </x:c>
    </x:row>
    <x:row r="12">
      <x:c r="A12" t="str">
        <x:v>Componentes</x:v>
      </x:c>
      <x:c r="B12" t="n">
        <x:f>SUMIF('Inventario Maestro'!A:A,A12,'Inventario Maestro'!D:D)</x:f>
        <x:v>10</x:v>
      </x:c>
      <x:c r="D12" t="str">
        <x:v>Pendiente comprar</x:v>
      </x:c>
      <x:c r="E12" t="str">
        <x:v>NE5532, TL072, LM833, relés Omron, WIMA</x:v>
      </x:c>
      <x:c r="F12" t="str">
        <x:v>Alta</x:v>
      </x:c>
    </x:row>
    <x:row r="13">
      <x:c r="A13" t="str">
        <x:v>PCB</x:v>
      </x:c>
      <x:c r="B13" t="n">
        <x:f>SUMIF('Inventario Maestro'!A:A,A13,'Inventario Maestro'!D:D)</x:f>
        <x:v>4</x:v>
      </x:c>
    </x:row>
    <x:row r="14">
      <x:c r="A14" t="str">
        <x:v>TOTAL</x:v>
      </x:c>
      <x:c r="B14" t="n">
        <x:f>SUM(B4:B13)</x:f>
        <x:v>1934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7.6299991607666" hidden="0" customWidth="1"/>
    <x:col min="4" max="4" width="9.960000038146973" hidden="0" customWidth="1"/>
    <x:col min="5" max="5" width="17.09000015258789" hidden="0" customWidth="1"/>
    <x:col min="6" max="6" width="32" hidden="0" customWidth="1"/>
    <x:col min="7" max="7" width="12.380000114440918" hidden="0" customWidth="1"/>
    <x:col min="8" max="8" width="14.270000457763672" hidden="0" customWidth="1"/>
    <x:col min="9" max="9" width="28" hidden="0" customWidth="1"/>
  </x:cols>
  <x:sheetData>
    <x:row r="1">
      <x:c r="A1" s="10" t="str">
        <x:v>Categoría</x:v>
      </x:c>
      <x:c r="B1" s="10" t="str">
        <x:v>Parte/Valor</x:v>
      </x:c>
      <x:c r="C1" s="10" t="str">
        <x:v>Código/Tipo</x:v>
      </x:c>
      <x:c r="D1" s="10" t="str">
        <x:v>Cantidad</x:v>
      </x:c>
      <x:c r="E1" s="10" t="str">
        <x:v>Paquete/Formato</x:v>
      </x:c>
      <x:c r="F1" s="10" t="str">
        <x:v>Uso típico</x:v>
      </x:c>
      <x:c r="G1" s="10" t="str">
        <x:v>Stock usado</x:v>
      </x:c>
      <x:c r="H1" s="10" t="str">
        <x:v>Stock restante</x:v>
      </x:c>
      <x:c r="I1" s="10" t="str">
        <x:v>Notas</x:v>
      </x:c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Capacitores cerámicos</x:v>
      </x:c>
      <x:c r="B2" t="str">
        <x:v>1pF</x:v>
      </x:c>
      <x:c r="C2" t="str"/>
      <x:c r="D2" t="n">
        <x:v>10</x:v>
      </x:c>
      <x:c r="E2" t="str">
        <x:v>Cerámico</x:v>
      </x:c>
      <x:c r="F2" t="str">
        <x:v>Filtro RF / prueba</x:v>
      </x:c>
      <x:c r="G2" t="n">
        <x:v>0</x:v>
      </x:c>
      <x:c r="H2" t="n">
        <x:f>D2-G2</x:f>
        <x:v>10</x:v>
      </x:c>
      <x:c r="I2" t="str"/>
    </x:row>
    <x:row r="3">
      <x:c r="A3" t="str">
        <x:v>Capacitores cerámicos</x:v>
      </x:c>
      <x:c r="B3" t="str">
        <x:v>2pF</x:v>
      </x:c>
      <x:c r="C3" t="str"/>
      <x:c r="D3" t="n">
        <x:v>10</x:v>
      </x:c>
      <x:c r="E3" t="str">
        <x:v>Cerámico</x:v>
      </x:c>
      <x:c r="F3" t="str">
        <x:v>Filtro RF / prueba</x:v>
      </x:c>
      <x:c r="G3" t="n">
        <x:v>0</x:v>
      </x:c>
      <x:c r="H3" t="n">
        <x:f>D3-G3</x:f>
        <x:v>10</x:v>
      </x:c>
      <x:c r="I3" t="str"/>
    </x:row>
    <x:row r="4">
      <x:c r="A4" t="str">
        <x:v>Capacitores cerámicos</x:v>
      </x:c>
      <x:c r="B4" t="str">
        <x:v>3pF</x:v>
      </x:c>
      <x:c r="C4" t="str"/>
      <x:c r="D4" t="n">
        <x:v>10</x:v>
      </x:c>
      <x:c r="E4" t="str">
        <x:v>Cerámico</x:v>
      </x:c>
      <x:c r="F4" t="str">
        <x:v>Filtro RF / prueba</x:v>
      </x:c>
      <x:c r="G4" t="n">
        <x:v>0</x:v>
      </x:c>
      <x:c r="H4" t="n">
        <x:f>D4-G4</x:f>
        <x:v>10</x:v>
      </x:c>
      <x:c r="I4" t="str"/>
    </x:row>
    <x:row r="5">
      <x:c r="A5" t="str">
        <x:v>Capacitores cerámicos</x:v>
      </x:c>
      <x:c r="B5" t="str">
        <x:v>5pF</x:v>
      </x:c>
      <x:c r="C5" t="str"/>
      <x:c r="D5" t="n">
        <x:v>10</x:v>
      </x:c>
      <x:c r="E5" t="str">
        <x:v>Cerámico</x:v>
      </x:c>
      <x:c r="F5" t="str">
        <x:v>Filtro RF / prueba</x:v>
      </x:c>
      <x:c r="G5" t="n">
        <x:v>0</x:v>
      </x:c>
      <x:c r="H5" t="n">
        <x:f>D5-G5</x:f>
        <x:v>10</x:v>
      </x:c>
      <x:c r="I5" t="str"/>
    </x:row>
    <x:row r="6">
      <x:c r="A6" t="str">
        <x:v>Capacitores cerámicos</x:v>
      </x:c>
      <x:c r="B6" t="str">
        <x:v>10pF</x:v>
      </x:c>
      <x:c r="C6" t="str">
        <x:v>100</x:v>
      </x:c>
      <x:c r="D6" t="n">
        <x:v>10</x:v>
      </x:c>
      <x:c r="E6" t="str">
        <x:v>Cerámico</x:v>
      </x:c>
      <x:c r="F6" t="str">
        <x:v>Filtro RF / osciladores</x:v>
      </x:c>
      <x:c r="G6" t="n">
        <x:v>0</x:v>
      </x:c>
      <x:c r="H6" t="n">
        <x:f>D6-G6</x:f>
        <x:v>10</x:v>
      </x:c>
      <x:c r="I6" t="str"/>
    </x:row>
    <x:row r="7">
      <x:c r="A7" t="str">
        <x:v>Capacitores cerámicos</x:v>
      </x:c>
      <x:c r="B7" t="str">
        <x:v>15pF</x:v>
      </x:c>
      <x:c r="C7" t="str">
        <x:v>150</x:v>
      </x:c>
      <x:c r="D7" t="n">
        <x:v>10</x:v>
      </x:c>
      <x:c r="E7" t="str">
        <x:v>Cerámico</x:v>
      </x:c>
      <x:c r="F7" t="str">
        <x:v>Filtro RF / osciladores</x:v>
      </x:c>
      <x:c r="G7" t="n">
        <x:v>0</x:v>
      </x:c>
      <x:c r="H7" t="n">
        <x:f>D7-G7</x:f>
        <x:v>10</x:v>
      </x:c>
      <x:c r="I7" t="str"/>
    </x:row>
    <x:row r="8">
      <x:c r="A8" t="str">
        <x:v>Capacitores cerámicos</x:v>
      </x:c>
      <x:c r="B8" t="str">
        <x:v>22pF</x:v>
      </x:c>
      <x:c r="C8" t="str">
        <x:v>220</x:v>
      </x:c>
      <x:c r="D8" t="n">
        <x:v>10</x:v>
      </x:c>
      <x:c r="E8" t="str">
        <x:v>Cerámico</x:v>
      </x:c>
      <x:c r="F8" t="str">
        <x:v>Cristal / RF</x:v>
      </x:c>
      <x:c r="G8" t="n">
        <x:v>0</x:v>
      </x:c>
      <x:c r="H8" t="n">
        <x:f>D8-G8</x:f>
        <x:v>10</x:v>
      </x:c>
      <x:c r="I8" t="str"/>
    </x:row>
    <x:row r="9">
      <x:c r="A9" t="str">
        <x:v>Capacitores cerámicos</x:v>
      </x:c>
      <x:c r="B9" t="str">
        <x:v>30pF</x:v>
      </x:c>
      <x:c r="C9" t="str">
        <x:v>300</x:v>
      </x:c>
      <x:c r="D9" t="n">
        <x:v>10</x:v>
      </x:c>
      <x:c r="E9" t="str">
        <x:v>Cerámico</x:v>
      </x:c>
      <x:c r="F9" t="str">
        <x:v>Cristal / RF</x:v>
      </x:c>
      <x:c r="G9" t="n">
        <x:v>0</x:v>
      </x:c>
      <x:c r="H9" t="n">
        <x:f>D9-G9</x:f>
        <x:v>10</x:v>
      </x:c>
      <x:c r="I9" t="str"/>
    </x:row>
    <x:row r="10">
      <x:c r="A10" t="str">
        <x:v>Capacitores cerámicos</x:v>
      </x:c>
      <x:c r="B10" t="str">
        <x:v>33pF</x:v>
      </x:c>
      <x:c r="C10" t="str">
        <x:v>330</x:v>
      </x:c>
      <x:c r="D10" t="n">
        <x:v>10</x:v>
      </x:c>
      <x:c r="E10" t="str">
        <x:v>Cerámico</x:v>
      </x:c>
      <x:c r="F10" t="str">
        <x:v>Cristal / RF</x:v>
      </x:c>
      <x:c r="G10" t="n">
        <x:v>0</x:v>
      </x:c>
      <x:c r="H10" t="n">
        <x:f>D10-G10</x:f>
        <x:v>10</x:v>
      </x:c>
      <x:c r="I10" t="str"/>
    </x:row>
    <x:row r="11">
      <x:c r="A11" t="str">
        <x:v>Capacitores cerámicos</x:v>
      </x:c>
      <x:c r="B11" t="str">
        <x:v>47pF</x:v>
      </x:c>
      <x:c r="C11" t="str">
        <x:v>470</x:v>
      </x:c>
      <x:c r="D11" t="n">
        <x:v>10</x:v>
      </x:c>
      <x:c r="E11" t="str">
        <x:v>Cerámico</x:v>
      </x:c>
      <x:c r="F11" t="str">
        <x:v>Filtro RF</x:v>
      </x:c>
      <x:c r="G11" t="n">
        <x:v>0</x:v>
      </x:c>
      <x:c r="H11" t="n">
        <x:f>D11-G11</x:f>
        <x:v>10</x:v>
      </x:c>
      <x:c r="I11" t="str"/>
    </x:row>
    <x:row r="12">
      <x:c r="A12" t="str">
        <x:v>Capacitores cerámicos</x:v>
      </x:c>
      <x:c r="B12" t="str">
        <x:v>56pF</x:v>
      </x:c>
      <x:c r="C12" t="str">
        <x:v>560</x:v>
      </x:c>
      <x:c r="D12" t="n">
        <x:v>10</x:v>
      </x:c>
      <x:c r="E12" t="str">
        <x:v>Cerámico</x:v>
      </x:c>
      <x:c r="F12" t="str">
        <x:v>Filtro RF</x:v>
      </x:c>
      <x:c r="G12" t="n">
        <x:v>0</x:v>
      </x:c>
      <x:c r="H12" t="n">
        <x:f>D12-G12</x:f>
        <x:v>10</x:v>
      </x:c>
      <x:c r="I12" t="str"/>
    </x:row>
    <x:row r="13">
      <x:c r="A13" t="str">
        <x:v>Capacitores cerámicos</x:v>
      </x:c>
      <x:c r="B13" t="str">
        <x:v>68pF</x:v>
      </x:c>
      <x:c r="C13" t="str">
        <x:v>680</x:v>
      </x:c>
      <x:c r="D13" t="n">
        <x:v>10</x:v>
      </x:c>
      <x:c r="E13" t="str">
        <x:v>Cerámico</x:v>
      </x:c>
      <x:c r="F13" t="str">
        <x:v>Filtro RF</x:v>
      </x:c>
      <x:c r="G13" t="n">
        <x:v>0</x:v>
      </x:c>
      <x:c r="H13" t="n">
        <x:f>D13-G13</x:f>
        <x:v>10</x:v>
      </x:c>
      <x:c r="I13" t="str"/>
    </x:row>
    <x:row r="14">
      <x:c r="A14" t="str">
        <x:v>Capacitores cerámicos</x:v>
      </x:c>
      <x:c r="B14" t="str">
        <x:v>82pF</x:v>
      </x:c>
      <x:c r="C14" t="str">
        <x:v>820</x:v>
      </x:c>
      <x:c r="D14" t="n">
        <x:v>10</x:v>
      </x:c>
      <x:c r="E14" t="str">
        <x:v>Cerámico</x:v>
      </x:c>
      <x:c r="F14" t="str">
        <x:v>Filtro RF</x:v>
      </x:c>
      <x:c r="G14" t="n">
        <x:v>0</x:v>
      </x:c>
      <x:c r="H14" t="n">
        <x:f>D14-G14</x:f>
        <x:v>10</x:v>
      </x:c>
      <x:c r="I14" t="str"/>
    </x:row>
    <x:row r="15">
      <x:c r="A15" t="str">
        <x:v>Capacitores cerámicos</x:v>
      </x:c>
      <x:c r="B15" t="str">
        <x:v>100pF</x:v>
      </x:c>
      <x:c r="C15" t="str">
        <x:v>101</x:v>
      </x:c>
      <x:c r="D15" t="n">
        <x:v>10</x:v>
      </x:c>
      <x:c r="E15" t="str">
        <x:v>Cerámico</x:v>
      </x:c>
      <x:c r="F15" t="str">
        <x:v>Filtro / desacoplo pequeño</x:v>
      </x:c>
      <x:c r="G15" t="n">
        <x:v>0</x:v>
      </x:c>
      <x:c r="H15" t="n">
        <x:f>D15-G15</x:f>
        <x:v>10</x:v>
      </x:c>
      <x:c r="I15" t="str"/>
    </x:row>
    <x:row r="16">
      <x:c r="A16" t="str">
        <x:v>Capacitores cerámicos</x:v>
      </x:c>
      <x:c r="B16" t="str">
        <x:v>150pF</x:v>
      </x:c>
      <x:c r="C16" t="str">
        <x:v>151</x:v>
      </x:c>
      <x:c r="D16" t="n">
        <x:v>10</x:v>
      </x:c>
      <x:c r="E16" t="str">
        <x:v>Cerámico</x:v>
      </x:c>
      <x:c r="F16" t="str">
        <x:v>Filtro</x:v>
      </x:c>
      <x:c r="G16" t="n">
        <x:v>0</x:v>
      </x:c>
      <x:c r="H16" t="n">
        <x:f>D16-G16</x:f>
        <x:v>10</x:v>
      </x:c>
      <x:c r="I16" t="str"/>
    </x:row>
    <x:row r="17">
      <x:c r="A17" t="str">
        <x:v>Capacitores cerámicos</x:v>
      </x:c>
      <x:c r="B17" t="str">
        <x:v>220pF</x:v>
      </x:c>
      <x:c r="C17" t="str">
        <x:v>221</x:v>
      </x:c>
      <x:c r="D17" t="n">
        <x:v>10</x:v>
      </x:c>
      <x:c r="E17" t="str">
        <x:v>Cerámico</x:v>
      </x:c>
      <x:c r="F17" t="str">
        <x:v>Filtro</x:v>
      </x:c>
      <x:c r="G17" t="n">
        <x:v>0</x:v>
      </x:c>
      <x:c r="H17" t="n">
        <x:f>D17-G17</x:f>
        <x:v>10</x:v>
      </x:c>
      <x:c r="I17" t="str"/>
    </x:row>
    <x:row r="18">
      <x:c r="A18" t="str">
        <x:v>Capacitores cerámicos</x:v>
      </x:c>
      <x:c r="B18" t="str">
        <x:v>330pF</x:v>
      </x:c>
      <x:c r="C18" t="str">
        <x:v>331</x:v>
      </x:c>
      <x:c r="D18" t="n">
        <x:v>10</x:v>
      </x:c>
      <x:c r="E18" t="str">
        <x:v>Cerámico</x:v>
      </x:c>
      <x:c r="F18" t="str">
        <x:v>Filtro</x:v>
      </x:c>
      <x:c r="G18" t="n">
        <x:v>0</x:v>
      </x:c>
      <x:c r="H18" t="n">
        <x:f>D18-G18</x:f>
        <x:v>10</x:v>
      </x:c>
      <x:c r="I18" t="str"/>
    </x:row>
    <x:row r="19">
      <x:c r="A19" t="str">
        <x:v>Capacitores cerámicos</x:v>
      </x:c>
      <x:c r="B19" t="str">
        <x:v>470pF</x:v>
      </x:c>
      <x:c r="C19" t="str">
        <x:v>471</x:v>
      </x:c>
      <x:c r="D19" t="n">
        <x:v>10</x:v>
      </x:c>
      <x:c r="E19" t="str">
        <x:v>Cerámico</x:v>
      </x:c>
      <x:c r="F19" t="str">
        <x:v>Filtro</x:v>
      </x:c>
      <x:c r="G19" t="n">
        <x:v>0</x:v>
      </x:c>
      <x:c r="H19" t="n">
        <x:f>D19-G19</x:f>
        <x:v>10</x:v>
      </x:c>
      <x:c r="I19" t="str"/>
    </x:row>
    <x:row r="20">
      <x:c r="A20" t="str">
        <x:v>Capacitores cerámicos</x:v>
      </x:c>
      <x:c r="B20" t="str">
        <x:v>680pF</x:v>
      </x:c>
      <x:c r="C20" t="str">
        <x:v>681</x:v>
      </x:c>
      <x:c r="D20" t="n">
        <x:v>10</x:v>
      </x:c>
      <x:c r="E20" t="str">
        <x:v>Cerámico</x:v>
      </x:c>
      <x:c r="F20" t="str">
        <x:v>Filtro</x:v>
      </x:c>
      <x:c r="G20" t="n">
        <x:v>0</x:v>
      </x:c>
      <x:c r="H20" t="n">
        <x:f>D20-G20</x:f>
        <x:v>10</x:v>
      </x:c>
      <x:c r="I20" t="str"/>
    </x:row>
    <x:row r="21">
      <x:c r="A21" t="str">
        <x:v>Capacitores cerámicos</x:v>
      </x:c>
      <x:c r="B21" t="str">
        <x:v>1nF</x:v>
      </x:c>
      <x:c r="C21" t="str">
        <x:v>102</x:v>
      </x:c>
      <x:c r="D21" t="n">
        <x:v>10</x:v>
      </x:c>
      <x:c r="E21" t="str">
        <x:v>Cerámico</x:v>
      </x:c>
      <x:c r="F21" t="str">
        <x:v>Filtros audio/RF</x:v>
      </x:c>
      <x:c r="G21" t="n">
        <x:v>0</x:v>
      </x:c>
      <x:c r="H21" t="n">
        <x:f>D21-G21</x:f>
        <x:v>10</x:v>
      </x:c>
      <x:c r="I21" t="str"/>
    </x:row>
    <x:row r="22">
      <x:c r="A22" t="str">
        <x:v>Capacitores cerámicos</x:v>
      </x:c>
      <x:c r="B22" t="str">
        <x:v>1.5nF</x:v>
      </x:c>
      <x:c r="C22" t="str">
        <x:v>152</x:v>
      </x:c>
      <x:c r="D22" t="n">
        <x:v>10</x:v>
      </x:c>
      <x:c r="E22" t="str">
        <x:v>Cerámico</x:v>
      </x:c>
      <x:c r="F22" t="str">
        <x:v>Filtros</x:v>
      </x:c>
      <x:c r="G22" t="n">
        <x:v>0</x:v>
      </x:c>
      <x:c r="H22" t="n">
        <x:f>D22-G22</x:f>
        <x:v>10</x:v>
      </x:c>
      <x:c r="I22" t="str"/>
    </x:row>
    <x:row r="23">
      <x:c r="A23" t="str">
        <x:v>Capacitores cerámicos</x:v>
      </x:c>
      <x:c r="B23" t="str">
        <x:v>2.2nF</x:v>
      </x:c>
      <x:c r="C23" t="str">
        <x:v>222</x:v>
      </x:c>
      <x:c r="D23" t="n">
        <x:v>10</x:v>
      </x:c>
      <x:c r="E23" t="str">
        <x:v>Cerámico</x:v>
      </x:c>
      <x:c r="F23" t="str">
        <x:v>Filtros</x:v>
      </x:c>
      <x:c r="G23" t="n">
        <x:v>0</x:v>
      </x:c>
      <x:c r="H23" t="n">
        <x:f>D23-G23</x:f>
        <x:v>10</x:v>
      </x:c>
      <x:c r="I23" t="str"/>
    </x:row>
    <x:row r="24">
      <x:c r="A24" t="str">
        <x:v>Capacitores cerámicos</x:v>
      </x:c>
      <x:c r="B24" t="str">
        <x:v>3.3nF</x:v>
      </x:c>
      <x:c r="C24" t="str">
        <x:v>332</x:v>
      </x:c>
      <x:c r="D24" t="n">
        <x:v>10</x:v>
      </x:c>
      <x:c r="E24" t="str">
        <x:v>Cerámico</x:v>
      </x:c>
      <x:c r="F24" t="str">
        <x:v>Filtros</x:v>
      </x:c>
      <x:c r="G24" t="n">
        <x:v>0</x:v>
      </x:c>
      <x:c r="H24" t="n">
        <x:f>D24-G24</x:f>
        <x:v>10</x:v>
      </x:c>
      <x:c r="I24" t="str"/>
    </x:row>
    <x:row r="25">
      <x:c r="A25" t="str">
        <x:v>Capacitores cerámicos</x:v>
      </x:c>
      <x:c r="B25" t="str">
        <x:v>4.7nF</x:v>
      </x:c>
      <x:c r="C25" t="str">
        <x:v>472</x:v>
      </x:c>
      <x:c r="D25" t="n">
        <x:v>10</x:v>
      </x:c>
      <x:c r="E25" t="str">
        <x:v>Cerámico</x:v>
      </x:c>
      <x:c r="F25" t="str">
        <x:v>Filtros audio</x:v>
      </x:c>
      <x:c r="G25" t="n">
        <x:v>0</x:v>
      </x:c>
      <x:c r="H25" t="n">
        <x:f>D25-G25</x:f>
        <x:v>10</x:v>
      </x:c>
      <x:c r="I25" t="str"/>
    </x:row>
    <x:row r="26">
      <x:c r="A26" t="str">
        <x:v>Capacitores cerámicos</x:v>
      </x:c>
      <x:c r="B26" t="str">
        <x:v>6.8nF</x:v>
      </x:c>
      <x:c r="C26" t="str">
        <x:v>682</x:v>
      </x:c>
      <x:c r="D26" t="n">
        <x:v>10</x:v>
      </x:c>
      <x:c r="E26" t="str">
        <x:v>Cerámico</x:v>
      </x:c>
      <x:c r="F26" t="str">
        <x:v>Filtros audio</x:v>
      </x:c>
      <x:c r="G26" t="n">
        <x:v>0</x:v>
      </x:c>
      <x:c r="H26" t="n">
        <x:f>D26-G26</x:f>
        <x:v>10</x:v>
      </x:c>
      <x:c r="I26" t="str"/>
    </x:row>
    <x:row r="27">
      <x:c r="A27" t="str">
        <x:v>Capacitores cerámicos</x:v>
      </x:c>
      <x:c r="B27" t="str">
        <x:v>10nF</x:v>
      </x:c>
      <x:c r="C27" t="str">
        <x:v>103</x:v>
      </x:c>
      <x:c r="D27" t="n">
        <x:v>10</x:v>
      </x:c>
      <x:c r="E27" t="str">
        <x:v>Cerámico</x:v>
      </x:c>
      <x:c r="F27" t="str">
        <x:v>Desacoplo/filtros</x:v>
      </x:c>
      <x:c r="G27" t="n">
        <x:v>0</x:v>
      </x:c>
      <x:c r="H27" t="n">
        <x:f>D27-G27</x:f>
        <x:v>10</x:v>
      </x:c>
      <x:c r="I27" t="str"/>
    </x:row>
    <x:row r="28">
      <x:c r="A28" t="str">
        <x:v>Capacitores cerámicos</x:v>
      </x:c>
      <x:c r="B28" t="str">
        <x:v>15nF</x:v>
      </x:c>
      <x:c r="C28" t="str">
        <x:v>153</x:v>
      </x:c>
      <x:c r="D28" t="n">
        <x:v>10</x:v>
      </x:c>
      <x:c r="E28" t="str">
        <x:v>Cerámico</x:v>
      </x:c>
      <x:c r="F28" t="str">
        <x:v>Filtros audio</x:v>
      </x:c>
      <x:c r="G28" t="n">
        <x:v>0</x:v>
      </x:c>
      <x:c r="H28" t="n">
        <x:f>D28-G28</x:f>
        <x:v>10</x:v>
      </x:c>
      <x:c r="I28" t="str"/>
    </x:row>
    <x:row r="29">
      <x:c r="A29" t="str">
        <x:v>Capacitores cerámicos</x:v>
      </x:c>
      <x:c r="B29" t="str">
        <x:v>22nF</x:v>
      </x:c>
      <x:c r="C29" t="str">
        <x:v>223</x:v>
      </x:c>
      <x:c r="D29" t="n">
        <x:v>10</x:v>
      </x:c>
      <x:c r="E29" t="str">
        <x:v>Cerámico</x:v>
      </x:c>
      <x:c r="F29" t="str">
        <x:v>Filtros audio</x:v>
      </x:c>
      <x:c r="G29" t="n">
        <x:v>0</x:v>
      </x:c>
      <x:c r="H29" t="n">
        <x:f>D29-G29</x:f>
        <x:v>10</x:v>
      </x:c>
      <x:c r="I29" t="str"/>
    </x:row>
    <x:row r="30">
      <x:c r="A30" t="str">
        <x:v>Capacitores cerámicos</x:v>
      </x:c>
      <x:c r="B30" t="str">
        <x:v>47nF</x:v>
      </x:c>
      <x:c r="C30" t="str">
        <x:v>473</x:v>
      </x:c>
      <x:c r="D30" t="n">
        <x:v>10</x:v>
      </x:c>
      <x:c r="E30" t="str">
        <x:v>Cerámico</x:v>
      </x:c>
      <x:c r="F30" t="str">
        <x:v>Filtros/desacoplo</x:v>
      </x:c>
      <x:c r="G30" t="n">
        <x:v>0</x:v>
      </x:c>
      <x:c r="H30" t="n">
        <x:f>D30-G30</x:f>
        <x:v>10</x:v>
      </x:c>
      <x:c r="I30" t="str"/>
    </x:row>
    <x:row r="31">
      <x:c r="A31" t="str">
        <x:v>Capacitores cerámicos</x:v>
      </x:c>
      <x:c r="B31" t="str">
        <x:v>68nF</x:v>
      </x:c>
      <x:c r="C31" t="str">
        <x:v>683</x:v>
      </x:c>
      <x:c r="D31" t="n">
        <x:v>10</x:v>
      </x:c>
      <x:c r="E31" t="str">
        <x:v>Cerámico</x:v>
      </x:c>
      <x:c r="F31" t="str">
        <x:v>Filtros/desacoplo</x:v>
      </x:c>
      <x:c r="G31" t="n">
        <x:v>0</x:v>
      </x:c>
      <x:c r="H31" t="n">
        <x:f>D31-G31</x:f>
        <x:v>10</x:v>
      </x:c>
      <x:c r="I31" t="str"/>
    </x:row>
    <x:row r="32">
      <x:c r="A32" t="str">
        <x:v>Capacitores cerámicos</x:v>
      </x:c>
      <x:c r="B32" t="str">
        <x:v>0.1uF</x:v>
      </x:c>
      <x:c r="C32" t="str">
        <x:v>104</x:v>
      </x:c>
      <x:c r="D32" t="n">
        <x:v>10</x:v>
      </x:c>
      <x:c r="E32" t="str">
        <x:v>Cerámico</x:v>
      </x:c>
      <x:c r="F32" t="str">
        <x:v>Desacoplo IC / Arduino</x:v>
      </x:c>
      <x:c r="G32" t="n">
        <x:v>0</x:v>
      </x:c>
      <x:c r="H32" t="n">
        <x:f>D32-G32</x:f>
        <x:v>10</x:v>
      </x:c>
      <x:c r="I32" t="str"/>
    </x:row>
    <x:row r="33">
      <x:c r="A33" t="str">
        <x:v>Electrolíticos</x:v>
      </x:c>
      <x:c r="B33" t="str">
        <x:v>0.22uF</x:v>
      </x:c>
      <x:c r="C33" t="str">
        <x:v>50V</x:v>
      </x:c>
      <x:c r="D33" t="n">
        <x:v>10</x:v>
      </x:c>
      <x:c r="E33" t="str">
        <x:v>Electrolítico</x:v>
      </x:c>
      <x:c r="F33" t="str">
        <x:v>Acoplo audio</x:v>
      </x:c>
      <x:c r="G33" t="n">
        <x:v>0</x:v>
      </x:c>
      <x:c r="H33" t="n">
        <x:f>D33-G33</x:f>
        <x:v>10</x:v>
      </x:c>
      <x:c r="I33" t="str"/>
    </x:row>
    <x:row r="34">
      <x:c r="A34" t="str">
        <x:v>Electrolíticos</x:v>
      </x:c>
      <x:c r="B34" t="str">
        <x:v>0.47uF</x:v>
      </x:c>
      <x:c r="C34" t="str">
        <x:v>50V</x:v>
      </x:c>
      <x:c r="D34" t="n">
        <x:v>10</x:v>
      </x:c>
      <x:c r="E34" t="str">
        <x:v>Electrolítico</x:v>
      </x:c>
      <x:c r="F34" t="str">
        <x:v>Acoplo audio</x:v>
      </x:c>
      <x:c r="G34" t="n">
        <x:v>0</x:v>
      </x:c>
      <x:c r="H34" t="n">
        <x:f>D34-G34</x:f>
        <x:v>10</x:v>
      </x:c>
      <x:c r="I34" t="str"/>
    </x:row>
    <x:row r="35">
      <x:c r="A35" t="str">
        <x:v>Electrolíticos</x:v>
      </x:c>
      <x:c r="B35" t="str">
        <x:v>1uF</x:v>
      </x:c>
      <x:c r="C35" t="str">
        <x:v>50V</x:v>
      </x:c>
      <x:c r="D35" t="n">
        <x:v>10</x:v>
      </x:c>
      <x:c r="E35" t="str">
        <x:v>Electrolítico</x:v>
      </x:c>
      <x:c r="F35" t="str">
        <x:v>Acoplo audio</x:v>
      </x:c>
      <x:c r="G35" t="n">
        <x:v>0</x:v>
      </x:c>
      <x:c r="H35" t="n">
        <x:f>D35-G35</x:f>
        <x:v>10</x:v>
      </x:c>
      <x:c r="I35" t="str"/>
    </x:row>
    <x:row r="36">
      <x:c r="A36" t="str">
        <x:v>Electrolíticos</x:v>
      </x:c>
      <x:c r="B36" t="str">
        <x:v>2.2uF</x:v>
      </x:c>
      <x:c r="C36" t="str">
        <x:v>50V</x:v>
      </x:c>
      <x:c r="D36" t="n">
        <x:v>10</x:v>
      </x:c>
      <x:c r="E36" t="str">
        <x:v>Electrolítico</x:v>
      </x:c>
      <x:c r="F36" t="str">
        <x:v>Acoplo audio</x:v>
      </x:c>
      <x:c r="G36" t="n">
        <x:v>0</x:v>
      </x:c>
      <x:c r="H36" t="n">
        <x:f>D36-G36</x:f>
        <x:v>10</x:v>
      </x:c>
      <x:c r="I36" t="str"/>
    </x:row>
    <x:row r="37">
      <x:c r="A37" t="str">
        <x:v>Electrolíticos</x:v>
      </x:c>
      <x:c r="B37" t="str">
        <x:v>4.7uF</x:v>
      </x:c>
      <x:c r="C37" t="str">
        <x:v>50V</x:v>
      </x:c>
      <x:c r="D37" t="n">
        <x:v>10</x:v>
      </x:c>
      <x:c r="E37" t="str">
        <x:v>Electrolítico</x:v>
      </x:c>
      <x:c r="F37" t="str">
        <x:v>Acoplo/filtro</x:v>
      </x:c>
      <x:c r="G37" t="n">
        <x:v>0</x:v>
      </x:c>
      <x:c r="H37" t="n">
        <x:f>D37-G37</x:f>
        <x:v>10</x:v>
      </x:c>
      <x:c r="I37" t="str"/>
    </x:row>
    <x:row r="38">
      <x:c r="A38" t="str">
        <x:v>Electrolíticos</x:v>
      </x:c>
      <x:c r="B38" t="str">
        <x:v>10uF</x:v>
      </x:c>
      <x:c r="C38" t="str">
        <x:v>50V</x:v>
      </x:c>
      <x:c r="D38" t="n">
        <x:v>10</x:v>
      </x:c>
      <x:c r="E38" t="str">
        <x:v>Electrolítico</x:v>
      </x:c>
      <x:c r="F38" t="str">
        <x:v>Filtro alimentación/audio</x:v>
      </x:c>
      <x:c r="G38" t="n">
        <x:v>0</x:v>
      </x:c>
      <x:c r="H38" t="n">
        <x:f>D38-G38</x:f>
        <x:v>10</x:v>
      </x:c>
      <x:c r="I38" t="str"/>
    </x:row>
    <x:row r="39">
      <x:c r="A39" t="str">
        <x:v>Electrolíticos</x:v>
      </x:c>
      <x:c r="B39" t="str">
        <x:v>22uF</x:v>
      </x:c>
      <x:c r="C39" t="str">
        <x:v>50V</x:v>
      </x:c>
      <x:c r="D39" t="n">
        <x:v>10</x:v>
      </x:c>
      <x:c r="E39" t="str">
        <x:v>Electrolítico</x:v>
      </x:c>
      <x:c r="F39" t="str">
        <x:v>Filtro alimentación/audio</x:v>
      </x:c>
      <x:c r="G39" t="n">
        <x:v>0</x:v>
      </x:c>
      <x:c r="H39" t="n">
        <x:f>D39-G39</x:f>
        <x:v>10</x:v>
      </x:c>
      <x:c r="I39" t="str"/>
    </x:row>
    <x:row r="40">
      <x:c r="A40" t="str">
        <x:v>Electrolíticos</x:v>
      </x:c>
      <x:c r="B40" t="str">
        <x:v>33uF</x:v>
      </x:c>
      <x:c r="C40" t="str">
        <x:v>16V</x:v>
      </x:c>
      <x:c r="D40" t="n">
        <x:v>10</x:v>
      </x:c>
      <x:c r="E40" t="str">
        <x:v>Electrolítico</x:v>
      </x:c>
      <x:c r="F40" t="str">
        <x:v>Filtro fuente</x:v>
      </x:c>
      <x:c r="G40" t="n">
        <x:v>0</x:v>
      </x:c>
      <x:c r="H40" t="n">
        <x:f>D40-G40</x:f>
        <x:v>10</x:v>
      </x:c>
      <x:c r="I40" t="str"/>
    </x:row>
    <x:row r="41">
      <x:c r="A41" t="str">
        <x:v>Electrolíticos</x:v>
      </x:c>
      <x:c r="B41" t="str">
        <x:v>47uF</x:v>
      </x:c>
      <x:c r="C41" t="str">
        <x:v>16V</x:v>
      </x:c>
      <x:c r="D41" t="n">
        <x:v>10</x:v>
      </x:c>
      <x:c r="E41" t="str">
        <x:v>Electrolítico</x:v>
      </x:c>
      <x:c r="F41" t="str">
        <x:v>Filtro fuente</x:v>
      </x:c>
      <x:c r="G41" t="n">
        <x:v>0</x:v>
      </x:c>
      <x:c r="H41" t="n">
        <x:f>D41-G41</x:f>
        <x:v>10</x:v>
      </x:c>
      <x:c r="I41" t="str"/>
    </x:row>
    <x:row r="42">
      <x:c r="A42" t="str">
        <x:v>Electrolíticos</x:v>
      </x:c>
      <x:c r="B42" t="str">
        <x:v>100uF</x:v>
      </x:c>
      <x:c r="C42" t="str">
        <x:v>16V</x:v>
      </x:c>
      <x:c r="D42" t="n">
        <x:v>10</x:v>
      </x:c>
      <x:c r="E42" t="str">
        <x:v>Electrolítico</x:v>
      </x:c>
      <x:c r="F42" t="str">
        <x:v>Filtro fuente</x:v>
      </x:c>
      <x:c r="G42" t="n">
        <x:v>0</x:v>
      </x:c>
      <x:c r="H42" t="n">
        <x:f>D42-G42</x:f>
        <x:v>10</x:v>
      </x:c>
      <x:c r="I42" t="str"/>
    </x:row>
    <x:row r="43">
      <x:c r="A43" t="str">
        <x:v>Electrolíticos</x:v>
      </x:c>
      <x:c r="B43" t="str">
        <x:v>220uF</x:v>
      </x:c>
      <x:c r="C43" t="str">
        <x:v>16V</x:v>
      </x:c>
      <x:c r="D43" t="n">
        <x:v>10</x:v>
      </x:c>
      <x:c r="E43" t="str">
        <x:v>Electrolítico</x:v>
      </x:c>
      <x:c r="F43" t="str">
        <x:v>Filtro fuente</x:v>
      </x:c>
      <x:c r="G43" t="n">
        <x:v>0</x:v>
      </x:c>
      <x:c r="H43" t="n">
        <x:f>D43-G43</x:f>
        <x:v>10</x:v>
      </x:c>
      <x:c r="I43" t="str"/>
    </x:row>
    <x:row r="44">
      <x:c r="A44" t="str">
        <x:v>Electrolíticos</x:v>
      </x:c>
      <x:c r="B44" t="str">
        <x:v>470uF</x:v>
      </x:c>
      <x:c r="C44" t="str">
        <x:v>16V</x:v>
      </x:c>
      <x:c r="D44" t="n">
        <x:v>10</x:v>
      </x:c>
      <x:c r="E44" t="str">
        <x:v>Electrolítico</x:v>
      </x:c>
      <x:c r="F44" t="str">
        <x:v>Filtro fuente</x:v>
      </x:c>
      <x:c r="G44" t="n">
        <x:v>0</x:v>
      </x:c>
      <x:c r="H44" t="n">
        <x:f>D44-G44</x:f>
        <x:v>10</x:v>
      </x:c>
      <x:c r="I44" t="str"/>
    </x:row>
    <x:row r="45">
      <x:c r="A45" t="str">
        <x:v>Transistores</x:v>
      </x:c>
      <x:c r="B45" t="str">
        <x:v>S8050</x:v>
      </x:c>
      <x:c r="C45" t="str">
        <x:v>NPN</x:v>
      </x:c>
      <x:c r="D45" t="n">
        <x:v>10</x:v>
      </x:c>
      <x:c r="E45" t="str">
        <x:v>TO-92</x:v>
      </x:c>
      <x:c r="F45" t="str">
        <x:v>Conmutación / driver</x:v>
      </x:c>
      <x:c r="G45" t="n">
        <x:v>0</x:v>
      </x:c>
      <x:c r="H45" t="n">
        <x:f>D45-G45</x:f>
        <x:v>10</x:v>
      </x:c>
      <x:c r="I45" t="str"/>
    </x:row>
    <x:row r="46">
      <x:c r="A46" t="str">
        <x:v>Transistores</x:v>
      </x:c>
      <x:c r="B46" t="str">
        <x:v>S8550</x:v>
      </x:c>
      <x:c r="C46" t="str">
        <x:v>PNP</x:v>
      </x:c>
      <x:c r="D46" t="n">
        <x:v>10</x:v>
      </x:c>
      <x:c r="E46" t="str">
        <x:v>TO-92</x:v>
      </x:c>
      <x:c r="F46" t="str">
        <x:v>Complemento / driver</x:v>
      </x:c>
      <x:c r="G46" t="n">
        <x:v>0</x:v>
      </x:c>
      <x:c r="H46" t="n">
        <x:f>D46-G46</x:f>
        <x:v>10</x:v>
      </x:c>
      <x:c r="I46" t="str"/>
    </x:row>
    <x:row r="47">
      <x:c r="A47" t="str">
        <x:v>Transistores</x:v>
      </x:c>
      <x:c r="B47" t="str">
        <x:v>S9012</x:v>
      </x:c>
      <x:c r="C47" t="str">
        <x:v>PNP</x:v>
      </x:c>
      <x:c r="D47" t="n">
        <x:v>10</x:v>
      </x:c>
      <x:c r="E47" t="str">
        <x:v>TO-92</x:v>
      </x:c>
      <x:c r="F47" t="str">
        <x:v>Señal general</x:v>
      </x:c>
      <x:c r="G47" t="n">
        <x:v>0</x:v>
      </x:c>
      <x:c r="H47" t="n">
        <x:f>D47-G47</x:f>
        <x:v>10</x:v>
      </x:c>
      <x:c r="I47" t="str"/>
    </x:row>
    <x:row r="48">
      <x:c r="A48" t="str">
        <x:v>Transistores</x:v>
      </x:c>
      <x:c r="B48" t="str">
        <x:v>S9013</x:v>
      </x:c>
      <x:c r="C48" t="str">
        <x:v>NPN</x:v>
      </x:c>
      <x:c r="D48" t="n">
        <x:v>10</x:v>
      </x:c>
      <x:c r="E48" t="str">
        <x:v>TO-92</x:v>
      </x:c>
      <x:c r="F48" t="str">
        <x:v>Señal general</x:v>
      </x:c>
      <x:c r="G48" t="n">
        <x:v>0</x:v>
      </x:c>
      <x:c r="H48" t="n">
        <x:f>D48-G48</x:f>
        <x:v>10</x:v>
      </x:c>
      <x:c r="I48" t="str"/>
    </x:row>
    <x:row r="49">
      <x:c r="A49" t="str">
        <x:v>Transistores</x:v>
      </x:c>
      <x:c r="B49" t="str">
        <x:v>S9014</x:v>
      </x:c>
      <x:c r="C49" t="str">
        <x:v>NPN</x:v>
      </x:c>
      <x:c r="D49" t="n">
        <x:v>10</x:v>
      </x:c>
      <x:c r="E49" t="str">
        <x:v>TO-92</x:v>
      </x:c>
      <x:c r="F49" t="str">
        <x:v>Señal general</x:v>
      </x:c>
      <x:c r="G49" t="n">
        <x:v>0</x:v>
      </x:c>
      <x:c r="H49" t="n">
        <x:f>D49-G49</x:f>
        <x:v>10</x:v>
      </x:c>
      <x:c r="I49" t="str"/>
    </x:row>
    <x:row r="50">
      <x:c r="A50" t="str">
        <x:v>Transistores</x:v>
      </x:c>
      <x:c r="B50" t="str">
        <x:v>S9015</x:v>
      </x:c>
      <x:c r="C50" t="str">
        <x:v>PNP</x:v>
      </x:c>
      <x:c r="D50" t="n">
        <x:v>10</x:v>
      </x:c>
      <x:c r="E50" t="str">
        <x:v>TO-92</x:v>
      </x:c>
      <x:c r="F50" t="str">
        <x:v>Señal general</x:v>
      </x:c>
      <x:c r="G50" t="n">
        <x:v>0</x:v>
      </x:c>
      <x:c r="H50" t="n">
        <x:f>D50-G50</x:f>
        <x:v>10</x:v>
      </x:c>
      <x:c r="I50" t="str"/>
    </x:row>
    <x:row r="51">
      <x:c r="A51" t="str">
        <x:v>Transistores</x:v>
      </x:c>
      <x:c r="B51" t="str">
        <x:v>S9018</x:v>
      </x:c>
      <x:c r="C51" t="str">
        <x:v>NPN</x:v>
      </x:c>
      <x:c r="D51" t="n">
        <x:v>10</x:v>
      </x:c>
      <x:c r="E51" t="str">
        <x:v>TO-92</x:v>
      </x:c>
      <x:c r="F51" t="str">
        <x:v>RF / señal</x:v>
      </x:c>
      <x:c r="G51" t="n">
        <x:v>0</x:v>
      </x:c>
      <x:c r="H51" t="n">
        <x:f>D51-G51</x:f>
        <x:v>10</x:v>
      </x:c>
      <x:c r="I51" t="str"/>
    </x:row>
    <x:row r="52">
      <x:c r="A52" t="str">
        <x:v>Transistores</x:v>
      </x:c>
      <x:c r="B52" t="str">
        <x:v>C1845</x:v>
      </x:c>
      <x:c r="C52" t="str">
        <x:v>NPN</x:v>
      </x:c>
      <x:c r="D52" t="n">
        <x:v>10</x:v>
      </x:c>
      <x:c r="E52" t="str">
        <x:v>TO-92</x:v>
      </x:c>
      <x:c r="F52" t="str">
        <x:v>Audio bajo ruido</x:v>
      </x:c>
      <x:c r="G52" t="n">
        <x:v>0</x:v>
      </x:c>
      <x:c r="H52" t="n">
        <x:f>D52-G52</x:f>
        <x:v>10</x:v>
      </x:c>
      <x:c r="I52" t="str"/>
    </x:row>
    <x:row r="53">
      <x:c r="A53" t="str">
        <x:v>Transistores</x:v>
      </x:c>
      <x:c r="B53" t="str">
        <x:v>2N5401</x:v>
      </x:c>
      <x:c r="C53" t="str">
        <x:v>PNP</x:v>
      </x:c>
      <x:c r="D53" t="n">
        <x:v>10</x:v>
      </x:c>
      <x:c r="E53" t="str">
        <x:v>TO-92</x:v>
      </x:c>
      <x:c r="F53" t="str">
        <x:v>Alto voltaje pequeño</x:v>
      </x:c>
      <x:c r="G53" t="n">
        <x:v>0</x:v>
      </x:c>
      <x:c r="H53" t="n">
        <x:f>D53-G53</x:f>
        <x:v>10</x:v>
      </x:c>
      <x:c r="I53" t="str"/>
    </x:row>
    <x:row r="54">
      <x:c r="A54" t="str">
        <x:v>Transistores</x:v>
      </x:c>
      <x:c r="B54" t="str">
        <x:v>2N5551</x:v>
      </x:c>
      <x:c r="C54" t="str">
        <x:v>NPN</x:v>
      </x:c>
      <x:c r="D54" t="n">
        <x:v>10</x:v>
      </x:c>
      <x:c r="E54" t="str">
        <x:v>TO-92</x:v>
      </x:c>
      <x:c r="F54" t="str">
        <x:v>Alto voltaje pequeño</x:v>
      </x:c>
      <x:c r="G54" t="n">
        <x:v>0</x:v>
      </x:c>
      <x:c r="H54" t="n">
        <x:f>D54-G54</x:f>
        <x:v>10</x:v>
      </x:c>
      <x:c r="I54" t="str"/>
    </x:row>
    <x:row r="55">
      <x:c r="A55" t="str">
        <x:v>Transistores</x:v>
      </x:c>
      <x:c r="B55" t="str">
        <x:v>2N3904</x:v>
      </x:c>
      <x:c r="C55" t="str">
        <x:v>NPN</x:v>
      </x:c>
      <x:c r="D55" t="n">
        <x:v>10</x:v>
      </x:c>
      <x:c r="E55" t="str">
        <x:v>TO-92</x:v>
      </x:c>
      <x:c r="F55" t="str">
        <x:v>Uso general</x:v>
      </x:c>
      <x:c r="G55" t="n">
        <x:v>0</x:v>
      </x:c>
      <x:c r="H55" t="n">
        <x:f>D55-G55</x:f>
        <x:v>10</x:v>
      </x:c>
      <x:c r="I55" t="str"/>
    </x:row>
    <x:row r="56">
      <x:c r="A56" t="str">
        <x:v>Transistores</x:v>
      </x:c>
      <x:c r="B56" t="str">
        <x:v>2N3906</x:v>
      </x:c>
      <x:c r="C56" t="str">
        <x:v>PNP</x:v>
      </x:c>
      <x:c r="D56" t="n">
        <x:v>10</x:v>
      </x:c>
      <x:c r="E56" t="str">
        <x:v>TO-92</x:v>
      </x:c>
      <x:c r="F56" t="str">
        <x:v>Uso general</x:v>
      </x:c>
      <x:c r="G56" t="n">
        <x:v>0</x:v>
      </x:c>
      <x:c r="H56" t="n">
        <x:f>D56-G56</x:f>
        <x:v>10</x:v>
      </x:c>
      <x:c r="I56" t="str"/>
    </x:row>
    <x:row r="57">
      <x:c r="A57" t="str">
        <x:v>Transistores</x:v>
      </x:c>
      <x:c r="B57" t="str">
        <x:v>A1015</x:v>
      </x:c>
      <x:c r="C57" t="str">
        <x:v>PNP</x:v>
      </x:c>
      <x:c r="D57" t="n">
        <x:v>10</x:v>
      </x:c>
      <x:c r="E57" t="str">
        <x:v>TO-92</x:v>
      </x:c>
      <x:c r="F57" t="str">
        <x:v>Audio complemento</x:v>
      </x:c>
      <x:c r="G57" t="n">
        <x:v>0</x:v>
      </x:c>
      <x:c r="H57" t="n">
        <x:f>D57-G57</x:f>
        <x:v>10</x:v>
      </x:c>
      <x:c r="I57" t="str"/>
    </x:row>
    <x:row r="58">
      <x:c r="A58" t="str">
        <x:v>Transistores</x:v>
      </x:c>
      <x:c r="B58" t="str">
        <x:v>A42</x:v>
      </x:c>
      <x:c r="C58" t="str">
        <x:v>NPN</x:v>
      </x:c>
      <x:c r="D58" t="n">
        <x:v>10</x:v>
      </x:c>
      <x:c r="E58" t="str">
        <x:v>TO-92</x:v>
      </x:c>
      <x:c r="F58" t="str">
        <x:v>Alto voltaje pequeño</x:v>
      </x:c>
      <x:c r="G58" t="n">
        <x:v>0</x:v>
      </x:c>
      <x:c r="H58" t="n">
        <x:f>D58-G58</x:f>
        <x:v>10</x:v>
      </x:c>
      <x:c r="I58" t="str"/>
    </x:row>
    <x:row r="59">
      <x:c r="A59" t="str">
        <x:v>Transistores</x:v>
      </x:c>
      <x:c r="B59" t="str">
        <x:v>A92</x:v>
      </x:c>
      <x:c r="C59" t="str">
        <x:v>PNP</x:v>
      </x:c>
      <x:c r="D59" t="n">
        <x:v>10</x:v>
      </x:c>
      <x:c r="E59" t="str">
        <x:v>TO-92</x:v>
      </x:c>
      <x:c r="F59" t="str">
        <x:v>Alto voltaje pequeño</x:v>
      </x:c>
      <x:c r="G59" t="n">
        <x:v>0</x:v>
      </x:c>
      <x:c r="H59" t="n">
        <x:f>D59-G59</x:f>
        <x:v>10</x:v>
      </x:c>
      <x:c r="I59" t="str"/>
    </x:row>
    <x:row r="60">
      <x:c r="A60" t="str">
        <x:v>Transistores</x:v>
      </x:c>
      <x:c r="B60" t="str">
        <x:v>A733</x:v>
      </x:c>
      <x:c r="C60" t="str">
        <x:v>PNP</x:v>
      </x:c>
      <x:c r="D60" t="n">
        <x:v>10</x:v>
      </x:c>
      <x:c r="E60" t="str">
        <x:v>TO-92</x:v>
      </x:c>
      <x:c r="F60" t="str">
        <x:v>Audio/señal</x:v>
      </x:c>
      <x:c r="G60" t="n">
        <x:v>0</x:v>
      </x:c>
      <x:c r="H60" t="n">
        <x:f>D60-G60</x:f>
        <x:v>10</x:v>
      </x:c>
      <x:c r="I60" t="str"/>
    </x:row>
    <x:row r="61">
      <x:c r="A61" t="str">
        <x:v>Transistores</x:v>
      </x:c>
      <x:c r="B61" t="str">
        <x:v>C945</x:v>
      </x:c>
      <x:c r="C61" t="str">
        <x:v>NPN</x:v>
      </x:c>
      <x:c r="D61" t="n">
        <x:v>10</x:v>
      </x:c>
      <x:c r="E61" t="str">
        <x:v>TO-92</x:v>
      </x:c>
      <x:c r="F61" t="str">
        <x:v>Audio/señal</x:v>
      </x:c>
      <x:c r="G61" t="n">
        <x:v>0</x:v>
      </x:c>
      <x:c r="H61" t="n">
        <x:f>D61-G61</x:f>
        <x:v>10</x:v>
      </x:c>
      <x:c r="I61" t="str"/>
    </x:row>
    <x:row r="62">
      <x:c r="A62" t="str">
        <x:v>Resistencias 1/4W 1%</x:v>
      </x:c>
      <x:c r="B62" t="str">
        <x:v>0Ω</x:v>
      </x:c>
      <x:c r="C62" t="str"/>
      <x:c r="D62" t="n">
        <x:v>20</x:v>
      </x:c>
      <x:c r="E62" t="str">
        <x:v>Axial</x:v>
      </x:c>
      <x:c r="F62" t="str">
        <x:v>Polarización/filtros/divisores</x:v>
      </x:c>
      <x:c r="G62" t="n">
        <x:v>0</x:v>
      </x:c>
      <x:c r="H62" t="n">
        <x:f>D62-G62</x:f>
        <x:v>20</x:v>
      </x:c>
      <x:c r="I62" t="str"/>
    </x:row>
    <x:row r="63">
      <x:c r="A63" t="str">
        <x:v>Resistencias 1/4W 1%</x:v>
      </x:c>
      <x:c r="B63" t="str">
        <x:v>0.5Ω</x:v>
      </x:c>
      <x:c r="C63" t="str"/>
      <x:c r="D63" t="n">
        <x:v>20</x:v>
      </x:c>
      <x:c r="E63" t="str">
        <x:v>Axial</x:v>
      </x:c>
      <x:c r="F63" t="str">
        <x:v>Polarización/filtros/divisores</x:v>
      </x:c>
      <x:c r="G63" t="n">
        <x:v>0</x:v>
      </x:c>
      <x:c r="H63" t="n">
        <x:f>D63-G63</x:f>
        <x:v>20</x:v>
      </x:c>
      <x:c r="I63" t="str"/>
    </x:row>
    <x:row r="64">
      <x:c r="A64" t="str">
        <x:v>Resistencias 1/4W 1%</x:v>
      </x:c>
      <x:c r="B64" t="str">
        <x:v>1Ω</x:v>
      </x:c>
      <x:c r="C64" t="str"/>
      <x:c r="D64" t="n">
        <x:v>20</x:v>
      </x:c>
      <x:c r="E64" t="str">
        <x:v>Axial</x:v>
      </x:c>
      <x:c r="F64" t="str">
        <x:v>Polarización/filtros/divisores</x:v>
      </x:c>
      <x:c r="G64" t="n">
        <x:v>0</x:v>
      </x:c>
      <x:c r="H64" t="n">
        <x:f>D64-G64</x:f>
        <x:v>20</x:v>
      </x:c>
      <x:c r="I64" t="str"/>
    </x:row>
    <x:row r="65">
      <x:c r="A65" t="str">
        <x:v>Resistencias 1/4W 1%</x:v>
      </x:c>
      <x:c r="B65" t="str">
        <x:v>2.2Ω</x:v>
      </x:c>
      <x:c r="C65" t="str"/>
      <x:c r="D65" t="n">
        <x:v>20</x:v>
      </x:c>
      <x:c r="E65" t="str">
        <x:v>Axial</x:v>
      </x:c>
      <x:c r="F65" t="str">
        <x:v>Polarización/filtros/divisores</x:v>
      </x:c>
      <x:c r="G65" t="n">
        <x:v>0</x:v>
      </x:c>
      <x:c r="H65" t="n">
        <x:f>D65-G65</x:f>
        <x:v>20</x:v>
      </x:c>
      <x:c r="I65" t="str"/>
    </x:row>
    <x:row r="66">
      <x:c r="A66" t="str">
        <x:v>Resistencias 1/4W 1%</x:v>
      </x:c>
      <x:c r="B66" t="str">
        <x:v>3.3Ω</x:v>
      </x:c>
      <x:c r="C66" t="str"/>
      <x:c r="D66" t="n">
        <x:v>20</x:v>
      </x:c>
      <x:c r="E66" t="str">
        <x:v>Axial</x:v>
      </x:c>
      <x:c r="F66" t="str">
        <x:v>Polarización/filtros/divisores</x:v>
      </x:c>
      <x:c r="G66" t="n">
        <x:v>0</x:v>
      </x:c>
      <x:c r="H66" t="n">
        <x:f>D66-G66</x:f>
        <x:v>20</x:v>
      </x:c>
      <x:c r="I66" t="str"/>
    </x:row>
    <x:row r="67">
      <x:c r="A67" t="str">
        <x:v>Resistencias 1/4W 1%</x:v>
      </x:c>
      <x:c r="B67" t="str">
        <x:v>4.7Ω</x:v>
      </x:c>
      <x:c r="C67" t="str"/>
      <x:c r="D67" t="n">
        <x:v>20</x:v>
      </x:c>
      <x:c r="E67" t="str">
        <x:v>Axial</x:v>
      </x:c>
      <x:c r="F67" t="str">
        <x:v>Polarización/filtros/divisores</x:v>
      </x:c>
      <x:c r="G67" t="n">
        <x:v>0</x:v>
      </x:c>
      <x:c r="H67" t="n">
        <x:f>D67-G67</x:f>
        <x:v>20</x:v>
      </x:c>
      <x:c r="I67" t="str"/>
    </x:row>
    <x:row r="68">
      <x:c r="A68" t="str">
        <x:v>Resistencias 1/4W 1%</x:v>
      </x:c>
      <x:c r="B68" t="str">
        <x:v>5.6Ω</x:v>
      </x:c>
      <x:c r="C68" t="str"/>
      <x:c r="D68" t="n">
        <x:v>20</x:v>
      </x:c>
      <x:c r="E68" t="str">
        <x:v>Axial</x:v>
      </x:c>
      <x:c r="F68" t="str">
        <x:v>Polarización/filtros/divisores</x:v>
      </x:c>
      <x:c r="G68" t="n">
        <x:v>0</x:v>
      </x:c>
      <x:c r="H68" t="n">
        <x:f>D68-G68</x:f>
        <x:v>20</x:v>
      </x:c>
      <x:c r="I68" t="str"/>
    </x:row>
    <x:row r="69">
      <x:c r="A69" t="str">
        <x:v>Resistencias 1/4W 1%</x:v>
      </x:c>
      <x:c r="B69" t="str">
        <x:v>6.8Ω</x:v>
      </x:c>
      <x:c r="C69" t="str"/>
      <x:c r="D69" t="n">
        <x:v>20</x:v>
      </x:c>
      <x:c r="E69" t="str">
        <x:v>Axial</x:v>
      </x:c>
      <x:c r="F69" t="str">
        <x:v>Polarización/filtros/divisores</x:v>
      </x:c>
      <x:c r="G69" t="n">
        <x:v>0</x:v>
      </x:c>
      <x:c r="H69" t="n">
        <x:f>D69-G69</x:f>
        <x:v>20</x:v>
      </x:c>
      <x:c r="I69" t="str"/>
    </x:row>
    <x:row r="70">
      <x:c r="A70" t="str">
        <x:v>Resistencias 1/4W 1%</x:v>
      </x:c>
      <x:c r="B70" t="str">
        <x:v>8.2Ω</x:v>
      </x:c>
      <x:c r="C70" t="str"/>
      <x:c r="D70" t="n">
        <x:v>20</x:v>
      </x:c>
      <x:c r="E70" t="str">
        <x:v>Axial</x:v>
      </x:c>
      <x:c r="F70" t="str">
        <x:v>Polarización/filtros/divisores</x:v>
      </x:c>
      <x:c r="G70" t="n">
        <x:v>0</x:v>
      </x:c>
      <x:c r="H70" t="n">
        <x:f>D70-G70</x:f>
        <x:v>20</x:v>
      </x:c>
      <x:c r="I70" t="str"/>
    </x:row>
    <x:row r="71">
      <x:c r="A71" t="str">
        <x:v>Resistencias 1/4W 1%</x:v>
      </x:c>
      <x:c r="B71" t="str">
        <x:v>10Ω</x:v>
      </x:c>
      <x:c r="C71" t="str"/>
      <x:c r="D71" t="n">
        <x:v>20</x:v>
      </x:c>
      <x:c r="E71" t="str">
        <x:v>Axial</x:v>
      </x:c>
      <x:c r="F71" t="str">
        <x:v>Polarización/filtros/divisores</x:v>
      </x:c>
      <x:c r="G71" t="n">
        <x:v>0</x:v>
      </x:c>
      <x:c r="H71" t="n">
        <x:f>D71-G71</x:f>
        <x:v>20</x:v>
      </x:c>
      <x:c r="I71" t="str"/>
    </x:row>
    <x:row r="72">
      <x:c r="A72" t="str">
        <x:v>Resistencias 1/4W 1%</x:v>
      </x:c>
      <x:c r="B72" t="str">
        <x:v>22Ω</x:v>
      </x:c>
      <x:c r="C72" t="str"/>
      <x:c r="D72" t="n">
        <x:v>20</x:v>
      </x:c>
      <x:c r="E72" t="str">
        <x:v>Axial</x:v>
      </x:c>
      <x:c r="F72" t="str">
        <x:v>Polarización/filtros/divisores</x:v>
      </x:c>
      <x:c r="G72" t="n">
        <x:v>0</x:v>
      </x:c>
      <x:c r="H72" t="n">
        <x:f>D72-G72</x:f>
        <x:v>20</x:v>
      </x:c>
      <x:c r="I72" t="str"/>
    </x:row>
    <x:row r="73">
      <x:c r="A73" t="str">
        <x:v>Resistencias 1/4W 1%</x:v>
      </x:c>
      <x:c r="B73" t="str">
        <x:v>33Ω</x:v>
      </x:c>
      <x:c r="C73" t="str"/>
      <x:c r="D73" t="n">
        <x:v>20</x:v>
      </x:c>
      <x:c r="E73" t="str">
        <x:v>Axial</x:v>
      </x:c>
      <x:c r="F73" t="str">
        <x:v>Polarización/filtros/divisores</x:v>
      </x:c>
      <x:c r="G73" t="n">
        <x:v>0</x:v>
      </x:c>
      <x:c r="H73" t="n">
        <x:f>D73-G73</x:f>
        <x:v>20</x:v>
      </x:c>
      <x:c r="I73" t="str"/>
    </x:row>
    <x:row r="74">
      <x:c r="A74" t="str">
        <x:v>Resistencias 1/4W 1%</x:v>
      </x:c>
      <x:c r="B74" t="str">
        <x:v>47Ω</x:v>
      </x:c>
      <x:c r="C74" t="str"/>
      <x:c r="D74" t="n">
        <x:v>20</x:v>
      </x:c>
      <x:c r="E74" t="str">
        <x:v>Axial</x:v>
      </x:c>
      <x:c r="F74" t="str">
        <x:v>Polarización/filtros/divisores</x:v>
      </x:c>
      <x:c r="G74" t="n">
        <x:v>0</x:v>
      </x:c>
      <x:c r="H74" t="n">
        <x:f>D74-G74</x:f>
        <x:v>20</x:v>
      </x:c>
      <x:c r="I74" t="str"/>
    </x:row>
    <x:row r="75">
      <x:c r="A75" t="str">
        <x:v>Resistencias 1/4W 1%</x:v>
      </x:c>
      <x:c r="B75" t="str">
        <x:v>56Ω</x:v>
      </x:c>
      <x:c r="C75" t="str"/>
      <x:c r="D75" t="n">
        <x:v>20</x:v>
      </x:c>
      <x:c r="E75" t="str">
        <x:v>Axial</x:v>
      </x:c>
      <x:c r="F75" t="str">
        <x:v>Polarización/filtros/divisores</x:v>
      </x:c>
      <x:c r="G75" t="n">
        <x:v>0</x:v>
      </x:c>
      <x:c r="H75" t="n">
        <x:f>D75-G75</x:f>
        <x:v>20</x:v>
      </x:c>
      <x:c r="I75" t="str"/>
    </x:row>
    <x:row r="76">
      <x:c r="A76" t="str">
        <x:v>Resistencias 1/4W 1%</x:v>
      </x:c>
      <x:c r="B76" t="str">
        <x:v>68Ω</x:v>
      </x:c>
      <x:c r="C76" t="str"/>
      <x:c r="D76" t="n">
        <x:v>20</x:v>
      </x:c>
      <x:c r="E76" t="str">
        <x:v>Axial</x:v>
      </x:c>
      <x:c r="F76" t="str">
        <x:v>Polarización/filtros/divisores</x:v>
      </x:c>
      <x:c r="G76" t="n">
        <x:v>0</x:v>
      </x:c>
      <x:c r="H76" t="n">
        <x:f>D76-G76</x:f>
        <x:v>20</x:v>
      </x:c>
      <x:c r="I76" t="str"/>
    </x:row>
    <x:row r="77">
      <x:c r="A77" t="str">
        <x:v>Resistencias 1/4W 1%</x:v>
      </x:c>
      <x:c r="B77" t="str">
        <x:v>82Ω</x:v>
      </x:c>
      <x:c r="C77" t="str"/>
      <x:c r="D77" t="n">
        <x:v>20</x:v>
      </x:c>
      <x:c r="E77" t="str">
        <x:v>Axial</x:v>
      </x:c>
      <x:c r="F77" t="str">
        <x:v>Polarización/filtros/divisores</x:v>
      </x:c>
      <x:c r="G77" t="n">
        <x:v>0</x:v>
      </x:c>
      <x:c r="H77" t="n">
        <x:f>D77-G77</x:f>
        <x:v>20</x:v>
      </x:c>
      <x:c r="I77" t="str"/>
    </x:row>
    <x:row r="78">
      <x:c r="A78" t="str">
        <x:v>Resistencias 1/4W 1%</x:v>
      </x:c>
      <x:c r="B78" t="str">
        <x:v>100Ω</x:v>
      </x:c>
      <x:c r="C78" t="str"/>
      <x:c r="D78" t="n">
        <x:v>20</x:v>
      </x:c>
      <x:c r="E78" t="str">
        <x:v>Axial</x:v>
      </x:c>
      <x:c r="F78" t="str">
        <x:v>Polarización/filtros/divisores</x:v>
      </x:c>
      <x:c r="G78" t="n">
        <x:v>0</x:v>
      </x:c>
      <x:c r="H78" t="n">
        <x:f>D78-G78</x:f>
        <x:v>20</x:v>
      </x:c>
      <x:c r="I78" t="str"/>
    </x:row>
    <x:row r="79">
      <x:c r="A79" t="str">
        <x:v>Resistencias 1/4W 1%</x:v>
      </x:c>
      <x:c r="B79" t="str">
        <x:v>220Ω</x:v>
      </x:c>
      <x:c r="C79" t="str"/>
      <x:c r="D79" t="n">
        <x:v>20</x:v>
      </x:c>
      <x:c r="E79" t="str">
        <x:v>Axial</x:v>
      </x:c>
      <x:c r="F79" t="str">
        <x:v>Polarización/filtros/divisores</x:v>
      </x:c>
      <x:c r="G79" t="n">
        <x:v>0</x:v>
      </x:c>
      <x:c r="H79" t="n">
        <x:f>D79-G79</x:f>
        <x:v>20</x:v>
      </x:c>
      <x:c r="I79" t="str"/>
    </x:row>
    <x:row r="80">
      <x:c r="A80" t="str">
        <x:v>Resistencias 1/4W 1%</x:v>
      </x:c>
      <x:c r="B80" t="str">
        <x:v>330Ω</x:v>
      </x:c>
      <x:c r="C80" t="str"/>
      <x:c r="D80" t="n">
        <x:v>20</x:v>
      </x:c>
      <x:c r="E80" t="str">
        <x:v>Axial</x:v>
      </x:c>
      <x:c r="F80" t="str">
        <x:v>Polarización/filtros/divisores</x:v>
      </x:c>
      <x:c r="G80" t="n">
        <x:v>0</x:v>
      </x:c>
      <x:c r="H80" t="n">
        <x:f>D80-G80</x:f>
        <x:v>20</x:v>
      </x:c>
      <x:c r="I80" t="str"/>
    </x:row>
    <x:row r="81">
      <x:c r="A81" t="str">
        <x:v>Resistencias 1/4W 1%</x:v>
      </x:c>
      <x:c r="B81" t="str">
        <x:v>470Ω</x:v>
      </x:c>
      <x:c r="C81" t="str"/>
      <x:c r="D81" t="n">
        <x:v>20</x:v>
      </x:c>
      <x:c r="E81" t="str">
        <x:v>Axial</x:v>
      </x:c>
      <x:c r="F81" t="str">
        <x:v>Polarización/filtros/divisores</x:v>
      </x:c>
      <x:c r="G81" t="n">
        <x:v>0</x:v>
      </x:c>
      <x:c r="H81" t="n">
        <x:f>D81-G81</x:f>
        <x:v>20</x:v>
      </x:c>
      <x:c r="I81" t="str"/>
    </x:row>
    <x:row r="82">
      <x:c r="A82" t="str">
        <x:v>Resistencias 1/4W 1%</x:v>
      </x:c>
      <x:c r="B82" t="str">
        <x:v>560Ω</x:v>
      </x:c>
      <x:c r="C82" t="str"/>
      <x:c r="D82" t="n">
        <x:v>20</x:v>
      </x:c>
      <x:c r="E82" t="str">
        <x:v>Axial</x:v>
      </x:c>
      <x:c r="F82" t="str">
        <x:v>Polarización/filtros/divisores</x:v>
      </x:c>
      <x:c r="G82" t="n">
        <x:v>0</x:v>
      </x:c>
      <x:c r="H82" t="n">
        <x:f>D82-G82</x:f>
        <x:v>20</x:v>
      </x:c>
      <x:c r="I82" t="str"/>
    </x:row>
    <x:row r="83">
      <x:c r="A83" t="str">
        <x:v>Resistencias 1/4W 1%</x:v>
      </x:c>
      <x:c r="B83" t="str">
        <x:v>680Ω</x:v>
      </x:c>
      <x:c r="C83" t="str"/>
      <x:c r="D83" t="n">
        <x:v>20</x:v>
      </x:c>
      <x:c r="E83" t="str">
        <x:v>Axial</x:v>
      </x:c>
      <x:c r="F83" t="str">
        <x:v>Polarización/filtros/divisores</x:v>
      </x:c>
      <x:c r="G83" t="n">
        <x:v>0</x:v>
      </x:c>
      <x:c r="H83" t="n">
        <x:f>D83-G83</x:f>
        <x:v>20</x:v>
      </x:c>
      <x:c r="I83" t="str"/>
    </x:row>
    <x:row r="84">
      <x:c r="A84" t="str">
        <x:v>Resistencias 1/4W 1%</x:v>
      </x:c>
      <x:c r="B84" t="str">
        <x:v>820Ω</x:v>
      </x:c>
      <x:c r="C84" t="str"/>
      <x:c r="D84" t="n">
        <x:v>20</x:v>
      </x:c>
      <x:c r="E84" t="str">
        <x:v>Axial</x:v>
      </x:c>
      <x:c r="F84" t="str">
        <x:v>Polarización/filtros/divisores</x:v>
      </x:c>
      <x:c r="G84" t="n">
        <x:v>0</x:v>
      </x:c>
      <x:c r="H84" t="n">
        <x:f>D84-G84</x:f>
        <x:v>20</x:v>
      </x:c>
      <x:c r="I84" t="str"/>
    </x:row>
    <x:row r="85">
      <x:c r="A85" t="str">
        <x:v>Resistencias 1/4W 1%</x:v>
      </x:c>
      <x:c r="B85" t="str">
        <x:v>1K</x:v>
      </x:c>
      <x:c r="C85" t="str"/>
      <x:c r="D85" t="n">
        <x:v>20</x:v>
      </x:c>
      <x:c r="E85" t="str">
        <x:v>Axial</x:v>
      </x:c>
      <x:c r="F85" t="str">
        <x:v>Polarización/filtros/divisores</x:v>
      </x:c>
      <x:c r="G85" t="n">
        <x:v>0</x:v>
      </x:c>
      <x:c r="H85" t="n">
        <x:f>D85-G85</x:f>
        <x:v>20</x:v>
      </x:c>
      <x:c r="I85" t="str"/>
    </x:row>
    <x:row r="86">
      <x:c r="A86" t="str">
        <x:v>Resistencias 1/4W 1%</x:v>
      </x:c>
      <x:c r="B86" t="str">
        <x:v>2.2K</x:v>
      </x:c>
      <x:c r="C86" t="str"/>
      <x:c r="D86" t="n">
        <x:v>20</x:v>
      </x:c>
      <x:c r="E86" t="str">
        <x:v>Axial</x:v>
      </x:c>
      <x:c r="F86" t="str">
        <x:v>Polarización/filtros/divisores</x:v>
      </x:c>
      <x:c r="G86" t="n">
        <x:v>0</x:v>
      </x:c>
      <x:c r="H86" t="n">
        <x:f>D86-G86</x:f>
        <x:v>20</x:v>
      </x:c>
      <x:c r="I86" t="str"/>
    </x:row>
    <x:row r="87">
      <x:c r="A87" t="str">
        <x:v>Resistencias 1/4W 1%</x:v>
      </x:c>
      <x:c r="B87" t="str">
        <x:v>3.3K</x:v>
      </x:c>
      <x:c r="C87" t="str"/>
      <x:c r="D87" t="n">
        <x:v>20</x:v>
      </x:c>
      <x:c r="E87" t="str">
        <x:v>Axial</x:v>
      </x:c>
      <x:c r="F87" t="str">
        <x:v>Polarización/filtros/divisores</x:v>
      </x:c>
      <x:c r="G87" t="n">
        <x:v>0</x:v>
      </x:c>
      <x:c r="H87" t="n">
        <x:f>D87-G87</x:f>
        <x:v>20</x:v>
      </x:c>
      <x:c r="I87" t="str"/>
    </x:row>
    <x:row r="88">
      <x:c r="A88" t="str">
        <x:v>Resistencias 1/4W 1%</x:v>
      </x:c>
      <x:c r="B88" t="str">
        <x:v>4.7K</x:v>
      </x:c>
      <x:c r="C88" t="str"/>
      <x:c r="D88" t="n">
        <x:v>20</x:v>
      </x:c>
      <x:c r="E88" t="str">
        <x:v>Axial</x:v>
      </x:c>
      <x:c r="F88" t="str">
        <x:v>Polarización/filtros/divisores</x:v>
      </x:c>
      <x:c r="G88" t="n">
        <x:v>0</x:v>
      </x:c>
      <x:c r="H88" t="n">
        <x:f>D88-G88</x:f>
        <x:v>20</x:v>
      </x:c>
      <x:c r="I88" t="str"/>
    </x:row>
    <x:row r="89">
      <x:c r="A89" t="str">
        <x:v>Resistencias 1/4W 1%</x:v>
      </x:c>
      <x:c r="B89" t="str">
        <x:v>5.6K</x:v>
      </x:c>
      <x:c r="C89" t="str"/>
      <x:c r="D89" t="n">
        <x:v>20</x:v>
      </x:c>
      <x:c r="E89" t="str">
        <x:v>Axial</x:v>
      </x:c>
      <x:c r="F89" t="str">
        <x:v>Polarización/filtros/divisores</x:v>
      </x:c>
      <x:c r="G89" t="n">
        <x:v>0</x:v>
      </x:c>
      <x:c r="H89" t="n">
        <x:f>D89-G89</x:f>
        <x:v>20</x:v>
      </x:c>
      <x:c r="I89" t="str"/>
    </x:row>
    <x:row r="90">
      <x:c r="A90" t="str">
        <x:v>Resistencias 1/4W 1%</x:v>
      </x:c>
      <x:c r="B90" t="str">
        <x:v>6.8K</x:v>
      </x:c>
      <x:c r="C90" t="str"/>
      <x:c r="D90" t="n">
        <x:v>20</x:v>
      </x:c>
      <x:c r="E90" t="str">
        <x:v>Axial</x:v>
      </x:c>
      <x:c r="F90" t="str">
        <x:v>Polarización/filtros/divisores</x:v>
      </x:c>
      <x:c r="G90" t="n">
        <x:v>0</x:v>
      </x:c>
      <x:c r="H90" t="n">
        <x:f>D90-G90</x:f>
        <x:v>20</x:v>
      </x:c>
      <x:c r="I90" t="str"/>
    </x:row>
    <x:row r="91">
      <x:c r="A91" t="str">
        <x:v>Resistencias 1/4W 1%</x:v>
      </x:c>
      <x:c r="B91" t="str">
        <x:v>8.2K</x:v>
      </x:c>
      <x:c r="C91" t="str"/>
      <x:c r="D91" t="n">
        <x:v>20</x:v>
      </x:c>
      <x:c r="E91" t="str">
        <x:v>Axial</x:v>
      </x:c>
      <x:c r="F91" t="str">
        <x:v>Polarización/filtros/divisores</x:v>
      </x:c>
      <x:c r="G91" t="n">
        <x:v>0</x:v>
      </x:c>
      <x:c r="H91" t="n">
        <x:f>D91-G91</x:f>
        <x:v>20</x:v>
      </x:c>
      <x:c r="I91" t="str"/>
    </x:row>
    <x:row r="92">
      <x:c r="A92" t="str">
        <x:v>Resistencias 1/4W 1%</x:v>
      </x:c>
      <x:c r="B92" t="str">
        <x:v>10K</x:v>
      </x:c>
      <x:c r="C92" t="str"/>
      <x:c r="D92" t="n">
        <x:v>20</x:v>
      </x:c>
      <x:c r="E92" t="str">
        <x:v>Axial</x:v>
      </x:c>
      <x:c r="F92" t="str">
        <x:v>Polarización/filtros/divisores</x:v>
      </x:c>
      <x:c r="G92" t="n">
        <x:v>0</x:v>
      </x:c>
      <x:c r="H92" t="n">
        <x:f>D92-G92</x:f>
        <x:v>20</x:v>
      </x:c>
      <x:c r="I92" t="str"/>
    </x:row>
    <x:row r="93">
      <x:c r="A93" t="str">
        <x:v>Resistencias 1/4W 1%</x:v>
      </x:c>
      <x:c r="B93" t="str">
        <x:v>22K</x:v>
      </x:c>
      <x:c r="C93" t="str"/>
      <x:c r="D93" t="n">
        <x:v>20</x:v>
      </x:c>
      <x:c r="E93" t="str">
        <x:v>Axial</x:v>
      </x:c>
      <x:c r="F93" t="str">
        <x:v>Polarización/filtros/divisores</x:v>
      </x:c>
      <x:c r="G93" t="n">
        <x:v>0</x:v>
      </x:c>
      <x:c r="H93" t="n">
        <x:f>D93-G93</x:f>
        <x:v>20</x:v>
      </x:c>
      <x:c r="I93" t="str"/>
    </x:row>
    <x:row r="94">
      <x:c r="A94" t="str">
        <x:v>Resistencias 1/4W 1%</x:v>
      </x:c>
      <x:c r="B94" t="str">
        <x:v>33K</x:v>
      </x:c>
      <x:c r="C94" t="str"/>
      <x:c r="D94" t="n">
        <x:v>20</x:v>
      </x:c>
      <x:c r="E94" t="str">
        <x:v>Axial</x:v>
      </x:c>
      <x:c r="F94" t="str">
        <x:v>Polarización/filtros/divisores</x:v>
      </x:c>
      <x:c r="G94" t="n">
        <x:v>0</x:v>
      </x:c>
      <x:c r="H94" t="n">
        <x:f>D94-G94</x:f>
        <x:v>20</x:v>
      </x:c>
      <x:c r="I94" t="str"/>
    </x:row>
    <x:row r="95">
      <x:c r="A95" t="str">
        <x:v>Resistencias 1/4W 1%</x:v>
      </x:c>
      <x:c r="B95" t="str">
        <x:v>47K</x:v>
      </x:c>
      <x:c r="C95" t="str"/>
      <x:c r="D95" t="n">
        <x:v>20</x:v>
      </x:c>
      <x:c r="E95" t="str">
        <x:v>Axial</x:v>
      </x:c>
      <x:c r="F95" t="str">
        <x:v>Polarización/filtros/divisores</x:v>
      </x:c>
      <x:c r="G95" t="n">
        <x:v>0</x:v>
      </x:c>
      <x:c r="H95" t="n">
        <x:f>D95-G95</x:f>
        <x:v>20</x:v>
      </x:c>
      <x:c r="I95" t="str"/>
    </x:row>
    <x:row r="96">
      <x:c r="A96" t="str">
        <x:v>Resistencias 1/4W 1%</x:v>
      </x:c>
      <x:c r="B96" t="str">
        <x:v>56K</x:v>
      </x:c>
      <x:c r="C96" t="str"/>
      <x:c r="D96" t="n">
        <x:v>20</x:v>
      </x:c>
      <x:c r="E96" t="str">
        <x:v>Axial</x:v>
      </x:c>
      <x:c r="F96" t="str">
        <x:v>Polarización/filtros/divisores</x:v>
      </x:c>
      <x:c r="G96" t="n">
        <x:v>0</x:v>
      </x:c>
      <x:c r="H96" t="n">
        <x:f>D96-G96</x:f>
        <x:v>20</x:v>
      </x:c>
      <x:c r="I96" t="str"/>
    </x:row>
    <x:row r="97">
      <x:c r="A97" t="str">
        <x:v>Resistencias 1/4W 1%</x:v>
      </x:c>
      <x:c r="B97" t="str">
        <x:v>68K</x:v>
      </x:c>
      <x:c r="C97" t="str"/>
      <x:c r="D97" t="n">
        <x:v>20</x:v>
      </x:c>
      <x:c r="E97" t="str">
        <x:v>Axial</x:v>
      </x:c>
      <x:c r="F97" t="str">
        <x:v>Polarización/filtros/divisores</x:v>
      </x:c>
      <x:c r="G97" t="n">
        <x:v>0</x:v>
      </x:c>
      <x:c r="H97" t="n">
        <x:f>D97-G97</x:f>
        <x:v>20</x:v>
      </x:c>
      <x:c r="I97" t="str"/>
    </x:row>
    <x:row r="98">
      <x:c r="A98" t="str">
        <x:v>Resistencias 1/4W 1%</x:v>
      </x:c>
      <x:c r="B98" t="str">
        <x:v>82K</x:v>
      </x:c>
      <x:c r="C98" t="str"/>
      <x:c r="D98" t="n">
        <x:v>20</x:v>
      </x:c>
      <x:c r="E98" t="str">
        <x:v>Axial</x:v>
      </x:c>
      <x:c r="F98" t="str">
        <x:v>Polarización/filtros/divisores</x:v>
      </x:c>
      <x:c r="G98" t="n">
        <x:v>0</x:v>
      </x:c>
      <x:c r="H98" t="n">
        <x:f>D98-G98</x:f>
        <x:v>20</x:v>
      </x:c>
      <x:c r="I98" t="str"/>
    </x:row>
    <x:row r="99">
      <x:c r="A99" t="str">
        <x:v>Resistencias 1/4W 1%</x:v>
      </x:c>
      <x:c r="B99" t="str">
        <x:v>100K</x:v>
      </x:c>
      <x:c r="C99" t="str"/>
      <x:c r="D99" t="n">
        <x:v>20</x:v>
      </x:c>
      <x:c r="E99" t="str">
        <x:v>Axial</x:v>
      </x:c>
      <x:c r="F99" t="str">
        <x:v>Polarización/filtros/divisores</x:v>
      </x:c>
      <x:c r="G99" t="n">
        <x:v>0</x:v>
      </x:c>
      <x:c r="H99" t="n">
        <x:f>D99-G99</x:f>
        <x:v>20</x:v>
      </x:c>
      <x:c r="I99" t="str"/>
    </x:row>
    <x:row r="100">
      <x:c r="A100" t="str">
        <x:v>Resistencias 1/4W 1%</x:v>
      </x:c>
      <x:c r="B100" t="str">
        <x:v>220K</x:v>
      </x:c>
      <x:c r="C100" t="str"/>
      <x:c r="D100" t="n">
        <x:v>20</x:v>
      </x:c>
      <x:c r="E100" t="str">
        <x:v>Axial</x:v>
      </x:c>
      <x:c r="F100" t="str">
        <x:v>Polarización/filtros/divisores</x:v>
      </x:c>
      <x:c r="G100" t="n">
        <x:v>0</x:v>
      </x:c>
      <x:c r="H100" t="n">
        <x:f>D100-G100</x:f>
        <x:v>20</x:v>
      </x:c>
      <x:c r="I100" t="str"/>
    </x:row>
    <x:row r="101">
      <x:c r="A101" t="str">
        <x:v>Resistencias 1/4W 1%</x:v>
      </x:c>
      <x:c r="B101" t="str">
        <x:v>330K</x:v>
      </x:c>
      <x:c r="C101" t="str"/>
      <x:c r="D101" t="n">
        <x:v>20</x:v>
      </x:c>
      <x:c r="E101" t="str">
        <x:v>Axial</x:v>
      </x:c>
      <x:c r="F101" t="str">
        <x:v>Polarización/filtros/divisores</x:v>
      </x:c>
      <x:c r="G101" t="n">
        <x:v>0</x:v>
      </x:c>
      <x:c r="H101" t="n">
        <x:f>D101-G101</x:f>
        <x:v>20</x:v>
      </x:c>
      <x:c r="I101" t="str"/>
    </x:row>
    <x:row r="102">
      <x:c r="A102" t="str">
        <x:v>Resistencias 1/4W 1%</x:v>
      </x:c>
      <x:c r="B102" t="str">
        <x:v>470K</x:v>
      </x:c>
      <x:c r="C102" t="str"/>
      <x:c r="D102" t="n">
        <x:v>20</x:v>
      </x:c>
      <x:c r="E102" t="str">
        <x:v>Axial</x:v>
      </x:c>
      <x:c r="F102" t="str">
        <x:v>Polarización/filtros/divisores</x:v>
      </x:c>
      <x:c r="G102" t="n">
        <x:v>0</x:v>
      </x:c>
      <x:c r="H102" t="n">
        <x:f>D102-G102</x:f>
        <x:v>20</x:v>
      </x:c>
      <x:c r="I102" t="str"/>
    </x:row>
    <x:row r="103">
      <x:c r="A103" t="str">
        <x:v>Resistencias 1/4W 1%</x:v>
      </x:c>
      <x:c r="B103" t="str">
        <x:v>560K</x:v>
      </x:c>
      <x:c r="C103" t="str"/>
      <x:c r="D103" t="n">
        <x:v>20</x:v>
      </x:c>
      <x:c r="E103" t="str">
        <x:v>Axial</x:v>
      </x:c>
      <x:c r="F103" t="str">
        <x:v>Polarización/filtros/divisores</x:v>
      </x:c>
      <x:c r="G103" t="n">
        <x:v>0</x:v>
      </x:c>
      <x:c r="H103" t="n">
        <x:f>D103-G103</x:f>
        <x:v>20</x:v>
      </x:c>
      <x:c r="I103" t="str"/>
    </x:row>
    <x:row r="104">
      <x:c r="A104" t="str">
        <x:v>Resistencias 1/4W 1%</x:v>
      </x:c>
      <x:c r="B104" t="str">
        <x:v>680K</x:v>
      </x:c>
      <x:c r="C104" t="str"/>
      <x:c r="D104" t="n">
        <x:v>20</x:v>
      </x:c>
      <x:c r="E104" t="str">
        <x:v>Axial</x:v>
      </x:c>
      <x:c r="F104" t="str">
        <x:v>Polarización/filtros/divisores</x:v>
      </x:c>
      <x:c r="G104" t="n">
        <x:v>0</x:v>
      </x:c>
      <x:c r="H104" t="n">
        <x:f>D104-G104</x:f>
        <x:v>20</x:v>
      </x:c>
      <x:c r="I104" t="str"/>
    </x:row>
    <x:row r="105">
      <x:c r="A105" t="str">
        <x:v>Resistencias 1/4W 1%</x:v>
      </x:c>
      <x:c r="B105" t="str">
        <x:v>820K</x:v>
      </x:c>
      <x:c r="C105" t="str"/>
      <x:c r="D105" t="n">
        <x:v>20</x:v>
      </x:c>
      <x:c r="E105" t="str">
        <x:v>Axial</x:v>
      </x:c>
      <x:c r="F105" t="str">
        <x:v>Polarización/filtros/divisores</x:v>
      </x:c>
      <x:c r="G105" t="n">
        <x:v>0</x:v>
      </x:c>
      <x:c r="H105" t="n">
        <x:f>D105-G105</x:f>
        <x:v>20</x:v>
      </x:c>
      <x:c r="I105" t="str"/>
    </x:row>
    <x:row r="106">
      <x:c r="A106" t="str">
        <x:v>Resistencias 1/4W 1%</x:v>
      </x:c>
      <x:c r="B106" t="str">
        <x:v>1M</x:v>
      </x:c>
      <x:c r="C106" t="str"/>
      <x:c r="D106" t="n">
        <x:v>20</x:v>
      </x:c>
      <x:c r="E106" t="str">
        <x:v>Axial</x:v>
      </x:c>
      <x:c r="F106" t="str">
        <x:v>Polarización/filtros/divisores</x:v>
      </x:c>
      <x:c r="G106" t="n">
        <x:v>0</x:v>
      </x:c>
      <x:c r="H106" t="n">
        <x:f>D106-G106</x:f>
        <x:v>20</x:v>
      </x:c>
      <x:c r="I106" t="str"/>
    </x:row>
    <x:row r="107">
      <x:c r="A107" t="str">
        <x:v>Resistencias 1/4W 1%</x:v>
      </x:c>
      <x:c r="B107" t="str">
        <x:v>2.2M</x:v>
      </x:c>
      <x:c r="C107" t="str"/>
      <x:c r="D107" t="n">
        <x:v>20</x:v>
      </x:c>
      <x:c r="E107" t="str">
        <x:v>Axial</x:v>
      </x:c>
      <x:c r="F107" t="str">
        <x:v>Polarización/filtros/divisores</x:v>
      </x:c>
      <x:c r="G107" t="n">
        <x:v>0</x:v>
      </x:c>
      <x:c r="H107" t="n">
        <x:f>D107-G107</x:f>
        <x:v>20</x:v>
      </x:c>
      <x:c r="I107" t="str"/>
    </x:row>
    <x:row r="108">
      <x:c r="A108" t="str">
        <x:v>Resistencias 1/4W 1%</x:v>
      </x:c>
      <x:c r="B108" t="str">
        <x:v>3.3M</x:v>
      </x:c>
      <x:c r="C108" t="str"/>
      <x:c r="D108" t="n">
        <x:v>20</x:v>
      </x:c>
      <x:c r="E108" t="str">
        <x:v>Axial</x:v>
      </x:c>
      <x:c r="F108" t="str">
        <x:v>Polarización/filtros/divisores</x:v>
      </x:c>
      <x:c r="G108" t="n">
        <x:v>0</x:v>
      </x:c>
      <x:c r="H108" t="n">
        <x:f>D108-G108</x:f>
        <x:v>20</x:v>
      </x:c>
      <x:c r="I108" t="str"/>
    </x:row>
    <x:row r="109">
      <x:c r="A109" t="str">
        <x:v>Resistencias 1/4W 1%</x:v>
      </x:c>
      <x:c r="B109" t="str">
        <x:v>4.7M</x:v>
      </x:c>
      <x:c r="C109" t="str"/>
      <x:c r="D109" t="n">
        <x:v>20</x:v>
      </x:c>
      <x:c r="E109" t="str">
        <x:v>Axial</x:v>
      </x:c>
      <x:c r="F109" t="str">
        <x:v>Polarización/filtros/divisores</x:v>
      </x:c>
      <x:c r="G109" t="n">
        <x:v>0</x:v>
      </x:c>
      <x:c r="H109" t="n">
        <x:f>D109-G109</x:f>
        <x:v>20</x:v>
      </x:c>
      <x:c r="I109" t="str"/>
    </x:row>
    <x:row r="110">
      <x:c r="A110" t="str">
        <x:v>Resistencias 1/4W 1%</x:v>
      </x:c>
      <x:c r="B110" t="str">
        <x:v>4.3M</x:v>
      </x:c>
      <x:c r="C110" t="str"/>
      <x:c r="D110" t="n">
        <x:v>20</x:v>
      </x:c>
      <x:c r="E110" t="str">
        <x:v>Axial</x:v>
      </x:c>
      <x:c r="F110" t="str">
        <x:v>Polarización/filtros/divisores</x:v>
      </x:c>
      <x:c r="G110" t="n">
        <x:v>0</x:v>
      </x:c>
      <x:c r="H110" t="n">
        <x:f>D110-G110</x:f>
        <x:v>20</x:v>
      </x:c>
      <x:c r="I110" t="str"/>
    </x:row>
    <x:row r="111">
      <x:c r="A111" t="str">
        <x:v>Resistencias 1/4W 1%</x:v>
      </x:c>
      <x:c r="B111" t="str">
        <x:v>10M</x:v>
      </x:c>
      <x:c r="C111" t="str"/>
      <x:c r="D111" t="n">
        <x:v>20</x:v>
      </x:c>
      <x:c r="E111" t="str">
        <x:v>Axial</x:v>
      </x:c>
      <x:c r="F111" t="str">
        <x:v>Polarización/filtros/divisores</x:v>
      </x:c>
      <x:c r="G111" t="n">
        <x:v>0</x:v>
      </x:c>
      <x:c r="H111" t="n">
        <x:f>D111-G111</x:f>
        <x:v>20</x:v>
      </x:c>
      <x:c r="I111" t="str"/>
    </x:row>
    <x:row r="112">
      <x:c r="A112" t="str">
        <x:v>Trimpots</x:v>
      </x:c>
      <x:c r="B112" t="str">
        <x:v>100Ω</x:v>
      </x:c>
      <x:c r="C112" t="str">
        <x:v>RM065</x:v>
      </x:c>
      <x:c r="D112" t="n">
        <x:v>1</x:v>
      </x:c>
      <x:c r="E112" t="str">
        <x:v>Variable</x:v>
      </x:c>
      <x:c r="F112" t="str">
        <x:v>Ajuste fino</x:v>
      </x:c>
      <x:c r="G112" t="n">
        <x:v>0</x:v>
      </x:c>
      <x:c r="H112" t="n">
        <x:f>D112-G112</x:f>
        <x:v>1</x:v>
      </x:c>
      <x:c r="I112" t="str"/>
    </x:row>
    <x:row r="113">
      <x:c r="A113" t="str">
        <x:v>Trimpots</x:v>
      </x:c>
      <x:c r="B113" t="str">
        <x:v>500Ω</x:v>
      </x:c>
      <x:c r="C113" t="str">
        <x:v>RM065</x:v>
      </x:c>
      <x:c r="D113" t="n">
        <x:v>1</x:v>
      </x:c>
      <x:c r="E113" t="str">
        <x:v>Variable</x:v>
      </x:c>
      <x:c r="F113" t="str">
        <x:v>Ajuste fino</x:v>
      </x:c>
      <x:c r="G113" t="n">
        <x:v>0</x:v>
      </x:c>
      <x:c r="H113" t="n">
        <x:f>D113-G113</x:f>
        <x:v>1</x:v>
      </x:c>
      <x:c r="I113" t="str"/>
    </x:row>
    <x:row r="114">
      <x:c r="A114" t="str">
        <x:v>Trimpots</x:v>
      </x:c>
      <x:c r="B114" t="str">
        <x:v>1K</x:v>
      </x:c>
      <x:c r="C114" t="str">
        <x:v>RM065</x:v>
      </x:c>
      <x:c r="D114" t="n">
        <x:v>1</x:v>
      </x:c>
      <x:c r="E114" t="str">
        <x:v>Variable</x:v>
      </x:c>
      <x:c r="F114" t="str">
        <x:v>Ajuste fino</x:v>
      </x:c>
      <x:c r="G114" t="n">
        <x:v>0</x:v>
      </x:c>
      <x:c r="H114" t="n">
        <x:f>D114-G114</x:f>
        <x:v>1</x:v>
      </x:c>
      <x:c r="I114" t="str"/>
    </x:row>
    <x:row r="115">
      <x:c r="A115" t="str">
        <x:v>Trimpots</x:v>
      </x:c>
      <x:c r="B115" t="str">
        <x:v>2K</x:v>
      </x:c>
      <x:c r="C115" t="str">
        <x:v>RM065</x:v>
      </x:c>
      <x:c r="D115" t="n">
        <x:v>1</x:v>
      </x:c>
      <x:c r="E115" t="str">
        <x:v>Variable</x:v>
      </x:c>
      <x:c r="F115" t="str">
        <x:v>Ajuste fino</x:v>
      </x:c>
      <x:c r="G115" t="n">
        <x:v>0</x:v>
      </x:c>
      <x:c r="H115" t="n">
        <x:f>D115-G115</x:f>
        <x:v>1</x:v>
      </x:c>
      <x:c r="I115" t="str"/>
    </x:row>
    <x:row r="116">
      <x:c r="A116" t="str">
        <x:v>Trimpots</x:v>
      </x:c>
      <x:c r="B116" t="str">
        <x:v>5K</x:v>
      </x:c>
      <x:c r="C116" t="str">
        <x:v>RM065</x:v>
      </x:c>
      <x:c r="D116" t="n">
        <x:v>1</x:v>
      </x:c>
      <x:c r="E116" t="str">
        <x:v>Variable</x:v>
      </x:c>
      <x:c r="F116" t="str">
        <x:v>Ajuste fino</x:v>
      </x:c>
      <x:c r="G116" t="n">
        <x:v>0</x:v>
      </x:c>
      <x:c r="H116" t="n">
        <x:f>D116-G116</x:f>
        <x:v>1</x:v>
      </x:c>
      <x:c r="I116" t="str"/>
    </x:row>
    <x:row r="117">
      <x:c r="A117" t="str">
        <x:v>Trimpots</x:v>
      </x:c>
      <x:c r="B117" t="str">
        <x:v>10K</x:v>
      </x:c>
      <x:c r="C117" t="str">
        <x:v>RM065</x:v>
      </x:c>
      <x:c r="D117" t="n">
        <x:v>1</x:v>
      </x:c>
      <x:c r="E117" t="str">
        <x:v>Variable</x:v>
      </x:c>
      <x:c r="F117" t="str">
        <x:v>Ajuste fino</x:v>
      </x:c>
      <x:c r="G117" t="n">
        <x:v>0</x:v>
      </x:c>
      <x:c r="H117" t="n">
        <x:f>D117-G117</x:f>
        <x:v>1</x:v>
      </x:c>
      <x:c r="I117" t="str"/>
    </x:row>
    <x:row r="118">
      <x:c r="A118" t="str">
        <x:v>Trimpots</x:v>
      </x:c>
      <x:c r="B118" t="str">
        <x:v>20K</x:v>
      </x:c>
      <x:c r="C118" t="str">
        <x:v>RM065</x:v>
      </x:c>
      <x:c r="D118" t="n">
        <x:v>1</x:v>
      </x:c>
      <x:c r="E118" t="str">
        <x:v>Variable</x:v>
      </x:c>
      <x:c r="F118" t="str">
        <x:v>Ajuste fino</x:v>
      </x:c>
      <x:c r="G118" t="n">
        <x:v>0</x:v>
      </x:c>
      <x:c r="H118" t="n">
        <x:f>D118-G118</x:f>
        <x:v>1</x:v>
      </x:c>
      <x:c r="I118" t="str"/>
    </x:row>
    <x:row r="119">
      <x:c r="A119" t="str">
        <x:v>Trimpots</x:v>
      </x:c>
      <x:c r="B119" t="str">
        <x:v>50K</x:v>
      </x:c>
      <x:c r="C119" t="str">
        <x:v>RM065</x:v>
      </x:c>
      <x:c r="D119" t="n">
        <x:v>1</x:v>
      </x:c>
      <x:c r="E119" t="str">
        <x:v>Variable</x:v>
      </x:c>
      <x:c r="F119" t="str">
        <x:v>Ajuste fino</x:v>
      </x:c>
      <x:c r="G119" t="n">
        <x:v>0</x:v>
      </x:c>
      <x:c r="H119" t="n">
        <x:f>D119-G119</x:f>
        <x:v>1</x:v>
      </x:c>
      <x:c r="I119" t="str"/>
    </x:row>
    <x:row r="120">
      <x:c r="A120" t="str">
        <x:v>Trimpots</x:v>
      </x:c>
      <x:c r="B120" t="str">
        <x:v>100K</x:v>
      </x:c>
      <x:c r="C120" t="str">
        <x:v>RM065</x:v>
      </x:c>
      <x:c r="D120" t="n">
        <x:v>1</x:v>
      </x:c>
      <x:c r="E120" t="str">
        <x:v>Variable</x:v>
      </x:c>
      <x:c r="F120" t="str">
        <x:v>Ajuste fino</x:v>
      </x:c>
      <x:c r="G120" t="n">
        <x:v>0</x:v>
      </x:c>
      <x:c r="H120" t="n">
        <x:f>D120-G120</x:f>
        <x:v>1</x:v>
      </x:c>
      <x:c r="I120" t="str"/>
    </x:row>
    <x:row r="121">
      <x:c r="A121" t="str">
        <x:v>Trimpots</x:v>
      </x:c>
      <x:c r="B121" t="str">
        <x:v>200K</x:v>
      </x:c>
      <x:c r="C121" t="str">
        <x:v>RM065</x:v>
      </x:c>
      <x:c r="D121" t="n">
        <x:v>1</x:v>
      </x:c>
      <x:c r="E121" t="str">
        <x:v>Variable</x:v>
      </x:c>
      <x:c r="F121" t="str">
        <x:v>Ajuste fino</x:v>
      </x:c>
      <x:c r="G121" t="n">
        <x:v>0</x:v>
      </x:c>
      <x:c r="H121" t="n">
        <x:f>D121-G121</x:f>
        <x:v>1</x:v>
      </x:c>
      <x:c r="I121" t="str"/>
    </x:row>
    <x:row r="122">
      <x:c r="A122" t="str">
        <x:v>Trimpots</x:v>
      </x:c>
      <x:c r="B122" t="str">
        <x:v>500K</x:v>
      </x:c>
      <x:c r="C122" t="str">
        <x:v>RM065</x:v>
      </x:c>
      <x:c r="D122" t="n">
        <x:v>1</x:v>
      </x:c>
      <x:c r="E122" t="str">
        <x:v>Variable</x:v>
      </x:c>
      <x:c r="F122" t="str">
        <x:v>Ajuste fino</x:v>
      </x:c>
      <x:c r="G122" t="n">
        <x:v>0</x:v>
      </x:c>
      <x:c r="H122" t="n">
        <x:f>D122-G122</x:f>
        <x:v>1</x:v>
      </x:c>
      <x:c r="I122" t="str"/>
    </x:row>
    <x:row r="123">
      <x:c r="A123" t="str">
        <x:v>Trimpots</x:v>
      </x:c>
      <x:c r="B123" t="str">
        <x:v>1M</x:v>
      </x:c>
      <x:c r="C123" t="str">
        <x:v>RM065</x:v>
      </x:c>
      <x:c r="D123" t="n">
        <x:v>1</x:v>
      </x:c>
      <x:c r="E123" t="str">
        <x:v>Variable</x:v>
      </x:c>
      <x:c r="F123" t="str">
        <x:v>Ajuste fino</x:v>
      </x:c>
      <x:c r="G123" t="n">
        <x:v>0</x:v>
      </x:c>
      <x:c r="H123" t="n">
        <x:f>D123-G123</x:f>
        <x:v>1</x:v>
      </x:c>
      <x:c r="I123" t="str"/>
    </x:row>
    <x:row r="124">
      <x:c r="A124" t="str">
        <x:v>ICs</x:v>
      </x:c>
      <x:c r="B124" t="str">
        <x:v>LM358</x:v>
      </x:c>
      <x:c r="C124" t="str">
        <x:v>DIP-8 Dual OpAmp</x:v>
      </x:c>
      <x:c r="D124" t="n">
        <x:v>2</x:v>
      </x:c>
      <x:c r="E124" t="str">
        <x:v>DIP-8</x:v>
      </x:c>
      <x:c r="F124" t="str">
        <x:v>VU meter / sensores</x:v>
      </x:c>
      <x:c r="G124" t="n">
        <x:v>0</x:v>
      </x:c>
      <x:c r="H124" t="n">
        <x:f>D124-G124</x:f>
        <x:v>2</x:v>
      </x:c>
      <x:c r="I124" t="str"/>
    </x:row>
    <x:row r="125">
      <x:c r="A125" t="str">
        <x:v>ICs</x:v>
      </x:c>
      <x:c r="B125" t="str">
        <x:v>NE555</x:v>
      </x:c>
      <x:c r="C125" t="str">
        <x:v>DIP-8 Timer/Oscillator</x:v>
      </x:c>
      <x:c r="D125" t="n">
        <x:v>2</x:v>
      </x:c>
      <x:c r="E125" t="str">
        <x:v>DIP-8</x:v>
      </x:c>
      <x:c r="F125" t="str">
        <x:v>Temporizador / oscilador</x:v>
      </x:c>
      <x:c r="G125" t="n">
        <x:v>0</x:v>
      </x:c>
      <x:c r="H125" t="n">
        <x:f>D125-G125</x:f>
        <x:v>2</x:v>
      </x:c>
      <x:c r="I125" t="str"/>
    </x:row>
    <x:row r="126">
      <x:c r="A126" t="str">
        <x:v>ICs</x:v>
      </x:c>
      <x:c r="B126" t="str">
        <x:v>JRC4558</x:v>
      </x:c>
      <x:c r="C126" t="str">
        <x:v>DIP-8 Dual OpAmp</x:v>
      </x:c>
      <x:c r="D126" t="n">
        <x:v>2</x:v>
      </x:c>
      <x:c r="E126" t="str">
        <x:v>DIP-8</x:v>
      </x:c>
      <x:c r="F126" t="str">
        <x:v>Audio preamp / filtros</x:v>
      </x:c>
      <x:c r="G126" t="n">
        <x:v>0</x:v>
      </x:c>
      <x:c r="H126" t="n">
        <x:f>D126-G126</x:f>
        <x:v>2</x:v>
      </x:c>
      <x:c r="I126" t="str"/>
    </x:row>
    <x:row r="127">
      <x:c r="A127" t="str">
        <x:v>LED</x:v>
      </x:c>
      <x:c r="B127" t="str">
        <x:v>5mm</x:v>
      </x:c>
      <x:c r="C127" t="str">
        <x:v>Rojo</x:v>
      </x:c>
      <x:c r="D127" t="n">
        <x:v>20</x:v>
      </x:c>
      <x:c r="E127" t="str">
        <x:v>LED radial</x:v>
      </x:c>
      <x:c r="F127" t="str">
        <x:v>Indicadores/VU</x:v>
      </x:c>
      <x:c r="G127" t="n">
        <x:v>0</x:v>
      </x:c>
      <x:c r="H127" t="n">
        <x:f>D127-G127</x:f>
        <x:v>20</x:v>
      </x:c>
      <x:c r="I127" t="str"/>
    </x:row>
    <x:row r="128">
      <x:c r="A128" t="str">
        <x:v>LED</x:v>
      </x:c>
      <x:c r="B128" t="str">
        <x:v>5mm</x:v>
      </x:c>
      <x:c r="C128" t="str">
        <x:v>Verde</x:v>
      </x:c>
      <x:c r="D128" t="n">
        <x:v>20</x:v>
      </x:c>
      <x:c r="E128" t="str">
        <x:v>LED radial</x:v>
      </x:c>
      <x:c r="F128" t="str">
        <x:v>Indicadores/VU</x:v>
      </x:c>
      <x:c r="G128" t="n">
        <x:v>0</x:v>
      </x:c>
      <x:c r="H128" t="n">
        <x:f>D128-G128</x:f>
        <x:v>20</x:v>
      </x:c>
      <x:c r="I128" t="str"/>
    </x:row>
    <x:row r="129">
      <x:c r="A129" t="str">
        <x:v>LED</x:v>
      </x:c>
      <x:c r="B129" t="str">
        <x:v>5mm</x:v>
      </x:c>
      <x:c r="C129" t="str">
        <x:v>Azul</x:v>
      </x:c>
      <x:c r="D129" t="n">
        <x:v>20</x:v>
      </x:c>
      <x:c r="E129" t="str">
        <x:v>LED radial</x:v>
      </x:c>
      <x:c r="F129" t="str">
        <x:v>Indicadores/VU</x:v>
      </x:c>
      <x:c r="G129" t="n">
        <x:v>0</x:v>
      </x:c>
      <x:c r="H129" t="n">
        <x:f>D129-G129</x:f>
        <x:v>20</x:v>
      </x:c>
      <x:c r="I129" t="str"/>
    </x:row>
    <x:row r="130">
      <x:c r="A130" t="str">
        <x:v>LED</x:v>
      </x:c>
      <x:c r="B130" t="str">
        <x:v>5mm</x:v>
      </x:c>
      <x:c r="C130" t="str">
        <x:v>Amarillo</x:v>
      </x:c>
      <x:c r="D130" t="n">
        <x:v>20</x:v>
      </x:c>
      <x:c r="E130" t="str">
        <x:v>LED radial</x:v>
      </x:c>
      <x:c r="F130" t="str">
        <x:v>Indicadores/VU</x:v>
      </x:c>
      <x:c r="G130" t="n">
        <x:v>0</x:v>
      </x:c>
      <x:c r="H130" t="n">
        <x:f>D130-G130</x:f>
        <x:v>20</x:v>
      </x:c>
      <x:c r="I130" t="str"/>
    </x:row>
    <x:row r="131">
      <x:c r="A131" t="str">
        <x:v>LED</x:v>
      </x:c>
      <x:c r="B131" t="str">
        <x:v>5mm</x:v>
      </x:c>
      <x:c r="C131" t="str">
        <x:v>Blanco</x:v>
      </x:c>
      <x:c r="D131" t="n">
        <x:v>20</x:v>
      </x:c>
      <x:c r="E131" t="str">
        <x:v>LED radial</x:v>
      </x:c>
      <x:c r="F131" t="str">
        <x:v>Indicadores/VU</x:v>
      </x:c>
      <x:c r="G131" t="n">
        <x:v>0</x:v>
      </x:c>
      <x:c r="H131" t="n">
        <x:f>D131-G131</x:f>
        <x:v>20</x:v>
      </x:c>
      <x:c r="I131" t="str"/>
    </x:row>
    <x:row r="132">
      <x:c r="A132" t="str">
        <x:v>LED</x:v>
      </x:c>
      <x:c r="B132" t="str">
        <x:v>3mm</x:v>
      </x:c>
      <x:c r="C132" t="str">
        <x:v>Rojo</x:v>
      </x:c>
      <x:c r="D132" t="n">
        <x:v>20</x:v>
      </x:c>
      <x:c r="E132" t="str">
        <x:v>LED radial</x:v>
      </x:c>
      <x:c r="F132" t="str">
        <x:v>Indicadores/VU</x:v>
      </x:c>
      <x:c r="G132" t="n">
        <x:v>0</x:v>
      </x:c>
      <x:c r="H132" t="n">
        <x:f>D132-G132</x:f>
        <x:v>20</x:v>
      </x:c>
      <x:c r="I132" t="str"/>
    </x:row>
    <x:row r="133">
      <x:c r="A133" t="str">
        <x:v>LED</x:v>
      </x:c>
      <x:c r="B133" t="str">
        <x:v>3mm</x:v>
      </x:c>
      <x:c r="C133" t="str">
        <x:v>Verde</x:v>
      </x:c>
      <x:c r="D133" t="n">
        <x:v>20</x:v>
      </x:c>
      <x:c r="E133" t="str">
        <x:v>LED radial</x:v>
      </x:c>
      <x:c r="F133" t="str">
        <x:v>Indicadores/VU</x:v>
      </x:c>
      <x:c r="G133" t="n">
        <x:v>0</x:v>
      </x:c>
      <x:c r="H133" t="n">
        <x:f>D133-G133</x:f>
        <x:v>20</x:v>
      </x:c>
      <x:c r="I133" t="str"/>
    </x:row>
    <x:row r="134">
      <x:c r="A134" t="str">
        <x:v>LED</x:v>
      </x:c>
      <x:c r="B134" t="str">
        <x:v>3mm</x:v>
      </x:c>
      <x:c r="C134" t="str">
        <x:v>Azul</x:v>
      </x:c>
      <x:c r="D134" t="n">
        <x:v>20</x:v>
      </x:c>
      <x:c r="E134" t="str">
        <x:v>LED radial</x:v>
      </x:c>
      <x:c r="F134" t="str">
        <x:v>Indicadores/VU</x:v>
      </x:c>
      <x:c r="G134" t="n">
        <x:v>0</x:v>
      </x:c>
      <x:c r="H134" t="n">
        <x:f>D134-G134</x:f>
        <x:v>20</x:v>
      </x:c>
      <x:c r="I134" t="str"/>
    </x:row>
    <x:row r="135">
      <x:c r="A135" t="str">
        <x:v>LED</x:v>
      </x:c>
      <x:c r="B135" t="str">
        <x:v>3mm</x:v>
      </x:c>
      <x:c r="C135" t="str">
        <x:v>Amarillo</x:v>
      </x:c>
      <x:c r="D135" t="n">
        <x:v>20</x:v>
      </x:c>
      <x:c r="E135" t="str">
        <x:v>LED radial</x:v>
      </x:c>
      <x:c r="F135" t="str">
        <x:v>Indicadores/VU</x:v>
      </x:c>
      <x:c r="G135" t="n">
        <x:v>0</x:v>
      </x:c>
      <x:c r="H135" t="n">
        <x:f>D135-G135</x:f>
        <x:v>20</x:v>
      </x:c>
      <x:c r="I135" t="str"/>
    </x:row>
    <x:row r="136">
      <x:c r="A136" t="str">
        <x:v>LED</x:v>
      </x:c>
      <x:c r="B136" t="str">
        <x:v>3mm</x:v>
      </x:c>
      <x:c r="C136" t="str">
        <x:v>Blanco</x:v>
      </x:c>
      <x:c r="D136" t="n">
        <x:v>20</x:v>
      </x:c>
      <x:c r="E136" t="str">
        <x:v>LED radial</x:v>
      </x:c>
      <x:c r="F136" t="str">
        <x:v>Indicadores/VU</x:v>
      </x:c>
      <x:c r="G136" t="n">
        <x:v>0</x:v>
      </x:c>
      <x:c r="H136" t="n">
        <x:f>D136-G136</x:f>
        <x:v>20</x:v>
      </x:c>
      <x:c r="I136" t="str"/>
    </x:row>
    <x:row r="137">
      <x:c r="A137" t="str">
        <x:v>Diodos</x:v>
      </x:c>
      <x:c r="B137" t="str">
        <x:v>1N4148</x:v>
      </x:c>
      <x:c r="C137" t="str">
        <x:v>Switching</x:v>
      </x:c>
      <x:c r="D137" t="n">
        <x:v>25</x:v>
      </x:c>
      <x:c r="E137" t="str">
        <x:v>DO-35</x:v>
      </x:c>
      <x:c r="F137" t="str">
        <x:v>Lógica/protección</x:v>
      </x:c>
      <x:c r="G137" t="n">
        <x:v>0</x:v>
      </x:c>
      <x:c r="H137" t="n">
        <x:f>D137-G137</x:f>
        <x:v>25</x:v>
      </x:c>
      <x:c r="I137" t="str"/>
    </x:row>
    <x:row r="138">
      <x:c r="A138" t="str">
        <x:v>Diodos</x:v>
      </x:c>
      <x:c r="B138" t="str">
        <x:v>1N5399</x:v>
      </x:c>
      <x:c r="C138" t="str">
        <x:v>Rectifier</x:v>
      </x:c>
      <x:c r="D138" t="n">
        <x:v>25</x:v>
      </x:c>
      <x:c r="E138" t="str">
        <x:v>DO-15</x:v>
      </x:c>
      <x:c r="F138" t="str">
        <x:v>Rectificador</x:v>
      </x:c>
      <x:c r="G138" t="n">
        <x:v>0</x:v>
      </x:c>
      <x:c r="H138" t="n">
        <x:f>D138-G138</x:f>
        <x:v>25</x:v>
      </x:c>
      <x:c r="I138" t="str"/>
    </x:row>
    <x:row r="139">
      <x:c r="A139" t="str">
        <x:v>Diodos</x:v>
      </x:c>
      <x:c r="B139" t="str">
        <x:v>1N5819</x:v>
      </x:c>
      <x:c r="C139" t="str">
        <x:v>Schottky</x:v>
      </x:c>
      <x:c r="D139" t="n">
        <x:v>10</x:v>
      </x:c>
      <x:c r="E139" t="str">
        <x:v>DO-41</x:v>
      </x:c>
      <x:c r="F139" t="str">
        <x:v>Baja caída</x:v>
      </x:c>
      <x:c r="G139" t="n">
        <x:v>0</x:v>
      </x:c>
      <x:c r="H139" t="n">
        <x:f>D139-G139</x:f>
        <x:v>10</x:v>
      </x:c>
      <x:c r="I139" t="str"/>
    </x:row>
    <x:row r="140">
      <x:c r="A140" t="str">
        <x:v>Diodos</x:v>
      </x:c>
      <x:c r="B140" t="str">
        <x:v>FR107</x:v>
      </x:c>
      <x:c r="C140" t="str">
        <x:v>Rectifier</x:v>
      </x:c>
      <x:c r="D140" t="n">
        <x:v>10</x:v>
      </x:c>
      <x:c r="E140" t="str">
        <x:v>DO-41</x:v>
      </x:c>
      <x:c r="F140" t="str">
        <x:v>Rectificador rápido</x:v>
      </x:c>
      <x:c r="G140" t="n">
        <x:v>0</x:v>
      </x:c>
      <x:c r="H140" t="n">
        <x:f>D140-G140</x:f>
        <x:v>10</x:v>
      </x:c>
      <x:c r="I140" t="str"/>
    </x:row>
    <x:row r="141">
      <x:c r="A141" t="str">
        <x:v>Diodos</x:v>
      </x:c>
      <x:c r="B141" t="str">
        <x:v>FR207</x:v>
      </x:c>
      <x:c r="C141" t="str">
        <x:v>Rectifier</x:v>
      </x:c>
      <x:c r="D141" t="n">
        <x:v>10</x:v>
      </x:c>
      <x:c r="E141" t="str">
        <x:v>DO-15</x:v>
      </x:c>
      <x:c r="F141" t="str">
        <x:v>Rectificador rápido</x:v>
      </x:c>
      <x:c r="G141" t="n">
        <x:v>0</x:v>
      </x:c>
      <x:c r="H141" t="n">
        <x:f>D141-G141</x:f>
        <x:v>10</x:v>
      </x:c>
      <x:c r="I141" t="str"/>
    </x:row>
    <x:row r="142">
      <x:c r="A142" t="str">
        <x:v>Diodos</x:v>
      </x:c>
      <x:c r="B142" t="str">
        <x:v>1N5408</x:v>
      </x:c>
      <x:c r="C142" t="str">
        <x:v>Rectifier</x:v>
      </x:c>
      <x:c r="D142" t="n">
        <x:v>10</x:v>
      </x:c>
      <x:c r="E142" t="str">
        <x:v>DO-201</x:v>
      </x:c>
      <x:c r="F142" t="str">
        <x:v>Rectificador 3A</x:v>
      </x:c>
      <x:c r="G142" t="n">
        <x:v>0</x:v>
      </x:c>
      <x:c r="H142" t="n">
        <x:f>D142-G142</x:f>
        <x:v>10</x:v>
      </x:c>
      <x:c r="I142" t="str"/>
    </x:row>
    <x:row r="143">
      <x:c r="A143" t="str">
        <x:v>Diodos</x:v>
      </x:c>
      <x:c r="B143" t="str">
        <x:v>1N4007</x:v>
      </x:c>
      <x:c r="C143" t="str">
        <x:v>Rectifier</x:v>
      </x:c>
      <x:c r="D143" t="n">
        <x:v>5</x:v>
      </x:c>
      <x:c r="E143" t="str">
        <x:v>DO-41</x:v>
      </x:c>
      <x:c r="F143" t="str">
        <x:v>Rectificador</x:v>
      </x:c>
      <x:c r="G143" t="n">
        <x:v>0</x:v>
      </x:c>
      <x:c r="H143" t="n">
        <x:f>D143-G143</x:f>
        <x:v>5</x:v>
      </x:c>
      <x:c r="I143" t="str"/>
    </x:row>
    <x:row r="144">
      <x:c r="A144" t="str">
        <x:v>Diodos</x:v>
      </x:c>
      <x:c r="B144" t="str">
        <x:v>1N5822</x:v>
      </x:c>
      <x:c r="C144" t="str">
        <x:v>Schottky</x:v>
      </x:c>
      <x:c r="D144" t="n">
        <x:v>5</x:v>
      </x:c>
      <x:c r="E144" t="str">
        <x:v>DO-201</x:v>
      </x:c>
      <x:c r="F144" t="str">
        <x:v>Baja caída</x:v>
      </x:c>
      <x:c r="G144" t="n">
        <x:v>0</x:v>
      </x:c>
      <x:c r="H144" t="n">
        <x:f>D144-G144</x:f>
        <x:v>5</x:v>
      </x:c>
      <x:c r="I144" t="str"/>
    </x:row>
    <x:row r="145">
      <x:c r="A145" t="str">
        <x:v>Diodos</x:v>
      </x:c>
      <x:c r="B145" t="str">
        <x:v>1N270</x:v>
      </x:c>
      <x:c r="C145" t="str">
        <x:v>Germanium</x:v>
      </x:c>
      <x:c r="D145" t="n">
        <x:v>2</x:v>
      </x:c>
      <x:c r="E145" t="str">
        <x:v>DO-7</x:v>
      </x:c>
      <x:c r="F145" t="str">
        <x:v>Detector/audio vintage</x:v>
      </x:c>
      <x:c r="G145" t="n">
        <x:v>0</x:v>
      </x:c>
      <x:c r="H145" t="n">
        <x:f>D145-G145</x:f>
        <x:v>2</x:v>
      </x:c>
      <x:c r="I145" t="str"/>
    </x:row>
    <x:row r="146">
      <x:c r="A146" t="str">
        <x:v>Componentes</x:v>
      </x:c>
      <x:c r="B146" t="str">
        <x:v>Mini Audio Speaker</x:v>
      </x:c>
      <x:c r="C146" t="str">
        <x:v>0.25W 8Ω 30mm</x:v>
      </x:c>
      <x:c r="D146" t="n">
        <x:v>1</x:v>
      </x:c>
      <x:c r="E146" t="str">
        <x:v>Bocina</x:v>
      </x:c>
      <x:c r="F146" t="str">
        <x:v>Pruebas de audio</x:v>
      </x:c>
      <x:c r="G146" t="n">
        <x:v>0</x:v>
      </x:c>
      <x:c r="H146" t="n">
        <x:f>D146-G146</x:f>
        <x:v>1</x:v>
      </x:c>
      <x:c r="I146" t="str"/>
    </x:row>
    <x:row r="147">
      <x:c r="A147" t="str">
        <x:v>Componentes</x:v>
      </x:c>
      <x:c r="B147" t="str">
        <x:v>DC jack</x:v>
      </x:c>
      <x:c r="C147" t="str">
        <x:v>5.5x2.1mm for PCB</x:v>
      </x:c>
      <x:c r="D147" t="n">
        <x:v>3</x:v>
      </x:c>
      <x:c r="E147" t="str">
        <x:v>Conector</x:v>
      </x:c>
      <x:c r="F147" t="str">
        <x:v>Alimentación</x:v>
      </x:c>
      <x:c r="G147" t="n">
        <x:v>0</x:v>
      </x:c>
      <x:c r="H147" t="n">
        <x:f>D147-G147</x:f>
        <x:v>3</x:v>
      </x:c>
      <x:c r="I147" t="str"/>
    </x:row>
    <x:row r="148">
      <x:c r="A148" t="str">
        <x:v>Componentes</x:v>
      </x:c>
      <x:c r="B148" t="str">
        <x:v>DC jacks</x:v>
      </x:c>
      <x:c r="C148" t="str">
        <x:v>5.5x2.1mm</x:v>
      </x:c>
      <x:c r="D148" t="n">
        <x:v>3</x:v>
      </x:c>
      <x:c r="E148" t="str">
        <x:v>Conector</x:v>
      </x:c>
      <x:c r="F148" t="str">
        <x:v>Alimentación</x:v>
      </x:c>
      <x:c r="G148" t="n">
        <x:v>0</x:v>
      </x:c>
      <x:c r="H148" t="n">
        <x:f>D148-G148</x:f>
        <x:v>3</x:v>
      </x:c>
      <x:c r="I148" t="str"/>
    </x:row>
    <x:row r="149">
      <x:c r="A149" t="str">
        <x:v>Componentes</x:v>
      </x:c>
      <x:c r="B149" t="str">
        <x:v>DC jacks</x:v>
      </x:c>
      <x:c r="C149" t="str">
        <x:v>5.5x2.1mm</x:v>
      </x:c>
      <x:c r="D149" t="n">
        <x:v>3</x:v>
      </x:c>
      <x:c r="E149" t="str">
        <x:v>Conector</x:v>
      </x:c>
      <x:c r="F149" t="str">
        <x:v>Alimentación</x:v>
      </x:c>
      <x:c r="G149" t="n">
        <x:v>0</x:v>
      </x:c>
      <x:c r="H149" t="n">
        <x:f>D149-G149</x:f>
        <x:v>3</x:v>
      </x:c>
      <x:c r="I149" t="str"/>
    </x:row>
    <x:row r="150">
      <x:c r="A150" t="str">
        <x:v>PCB</x:v>
      </x:c>
      <x:c r="B150" t="str">
        <x:v>PCB perforada</x:v>
      </x:c>
      <x:c r="C150" t="str">
        <x:v>7x9cm</x:v>
      </x:c>
      <x:c r="D150" t="n">
        <x:v>1</x:v>
      </x:c>
      <x:c r="E150" t="str">
        <x:v>Protoboard soldable</x:v>
      </x:c>
      <x:c r="F150" t="str">
        <x:v>Prototipos</x:v>
      </x:c>
      <x:c r="G150" t="n">
        <x:v>0</x:v>
      </x:c>
      <x:c r="H150" t="n">
        <x:f>D150-G150</x:f>
        <x:v>1</x:v>
      </x:c>
      <x:c r="I150" t="str"/>
    </x:row>
    <x:row r="151">
      <x:c r="A151" t="str">
        <x:v>PCB</x:v>
      </x:c>
      <x:c r="B151" t="str">
        <x:v>PCB perforada</x:v>
      </x:c>
      <x:c r="C151" t="str">
        <x:v>5x7cm</x:v>
      </x:c>
      <x:c r="D151" t="n">
        <x:v>1</x:v>
      </x:c>
      <x:c r="E151" t="str">
        <x:v>Protoboard soldable</x:v>
      </x:c>
      <x:c r="F151" t="str">
        <x:v>Prototipos</x:v>
      </x:c>
      <x:c r="G151" t="n">
        <x:v>0</x:v>
      </x:c>
      <x:c r="H151" t="n">
        <x:f>D151-G151</x:f>
        <x:v>1</x:v>
      </x:c>
      <x:c r="I151" t="str"/>
    </x:row>
    <x:row r="152">
      <x:c r="A152" t="str">
        <x:v>PCB</x:v>
      </x:c>
      <x:c r="B152" t="str">
        <x:v>PCB perforada</x:v>
      </x:c>
      <x:c r="C152" t="str">
        <x:v>2x8cm</x:v>
      </x:c>
      <x:c r="D152" t="n">
        <x:v>1</x:v>
      </x:c>
      <x:c r="E152" t="str">
        <x:v>Protoboard soldable</x:v>
      </x:c>
      <x:c r="F152" t="str">
        <x:v>Prototipos</x:v>
      </x:c>
      <x:c r="G152" t="n">
        <x:v>0</x:v>
      </x:c>
      <x:c r="H152" t="n">
        <x:f>D152-G152</x:f>
        <x:v>1</x:v>
      </x:c>
      <x:c r="I152" t="str"/>
    </x:row>
    <x:row r="153">
      <x:c r="A153" t="str">
        <x:v>PCB</x:v>
      </x:c>
      <x:c r="B153" t="str">
        <x:v>PCB perforada</x:v>
      </x:c>
      <x:c r="C153" t="str">
        <x:v>4x6cm</x:v>
      </x:c>
      <x:c r="D153" t="n">
        <x:v>1</x:v>
      </x:c>
      <x:c r="E153" t="str">
        <x:v>Protoboard soldable</x:v>
      </x:c>
      <x:c r="F153" t="str">
        <x:v>Prototipos</x:v>
      </x:c>
      <x:c r="G153" t="n">
        <x:v>0</x:v>
      </x:c>
      <x:c r="H153" t="n">
        <x:f>D153-G153</x:f>
        <x:v>1</x:v>
      </x:c>
      <x:c r="I153" t="str"/>
    </x:row>
  </x:sheetData>
  <x:conditionalFormatting sqref="H2:H15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2b508b8c7d4c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6.860000133514404" hidden="0" customWidth="1"/>
    <x:col min="3" max="3" width="14.800000190734863" hidden="0" customWidth="1"/>
    <x:col min="4" max="4" width="9.960000038146973" hidden="0" customWidth="1"/>
    <x:col min="5" max="5" width="9.420000076293945" hidden="0" customWidth="1"/>
    <x:col min="6" max="6" width="21.530000686645508" hidden="0" customWidth="1"/>
  </x:cols>
  <x:sheetData>
    <x:row r="1">
      <x:c r="A1" s="10" t="str">
        <x:v>Categoría</x:v>
      </x:c>
      <x:c r="B1" s="10" t="str">
        <x:v>Valor</x:v>
      </x:c>
      <x:c r="C1" s="10" t="str">
        <x:v>Código/Voltaje</x:v>
      </x:c>
      <x:c r="D1" s="10" t="str">
        <x:v>Cantidad</x:v>
      </x:c>
      <x:c r="E1" s="10" t="str">
        <x:v>Tipo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Capacitores cerámicos</x:v>
      </x:c>
      <x:c r="B2" t="str">
        <x:v>1pF</x:v>
      </x:c>
      <x:c r="C2" t="str"/>
      <x:c r="D2" t="n">
        <x:v>10</x:v>
      </x:c>
      <x:c r="E2" t="str">
        <x:v>Cerámico</x:v>
      </x:c>
      <x:c r="F2" t="str">
        <x:v>Filtro RF / prueba</x:v>
      </x:c>
    </x:row>
    <x:row r="3">
      <x:c r="A3" t="str">
        <x:v>Capacitores cerámicos</x:v>
      </x:c>
      <x:c r="B3" t="str">
        <x:v>2pF</x:v>
      </x:c>
      <x:c r="C3" t="str"/>
      <x:c r="D3" t="n">
        <x:v>10</x:v>
      </x:c>
      <x:c r="E3" t="str">
        <x:v>Cerámico</x:v>
      </x:c>
      <x:c r="F3" t="str">
        <x:v>Filtro RF / prueba</x:v>
      </x:c>
    </x:row>
    <x:row r="4">
      <x:c r="A4" t="str">
        <x:v>Capacitores cerámicos</x:v>
      </x:c>
      <x:c r="B4" t="str">
        <x:v>3pF</x:v>
      </x:c>
      <x:c r="C4" t="str"/>
      <x:c r="D4" t="n">
        <x:v>10</x:v>
      </x:c>
      <x:c r="E4" t="str">
        <x:v>Cerámico</x:v>
      </x:c>
      <x:c r="F4" t="str">
        <x:v>Filtro RF / prueba</x:v>
      </x:c>
    </x:row>
    <x:row r="5">
      <x:c r="A5" t="str">
        <x:v>Capacitores cerámicos</x:v>
      </x:c>
      <x:c r="B5" t="str">
        <x:v>5pF</x:v>
      </x:c>
      <x:c r="C5" t="str"/>
      <x:c r="D5" t="n">
        <x:v>10</x:v>
      </x:c>
      <x:c r="E5" t="str">
        <x:v>Cerámico</x:v>
      </x:c>
      <x:c r="F5" t="str">
        <x:v>Filtro RF / prueba</x:v>
      </x:c>
    </x:row>
    <x:row r="6">
      <x:c r="A6" t="str">
        <x:v>Capacitores cerámicos</x:v>
      </x:c>
      <x:c r="B6" t="str">
        <x:v>10pF</x:v>
      </x:c>
      <x:c r="C6" t="str">
        <x:v>100</x:v>
      </x:c>
      <x:c r="D6" t="n">
        <x:v>10</x:v>
      </x:c>
      <x:c r="E6" t="str">
        <x:v>Cerámico</x:v>
      </x:c>
      <x:c r="F6" t="str">
        <x:v>Filtro RF / osciladores</x:v>
      </x:c>
    </x:row>
    <x:row r="7">
      <x:c r="A7" t="str">
        <x:v>Capacitores cerámicos</x:v>
      </x:c>
      <x:c r="B7" t="str">
        <x:v>15pF</x:v>
      </x:c>
      <x:c r="C7" t="str">
        <x:v>150</x:v>
      </x:c>
      <x:c r="D7" t="n">
        <x:v>10</x:v>
      </x:c>
      <x:c r="E7" t="str">
        <x:v>Cerámico</x:v>
      </x:c>
      <x:c r="F7" t="str">
        <x:v>Filtro RF / osciladores</x:v>
      </x:c>
    </x:row>
    <x:row r="8">
      <x:c r="A8" t="str">
        <x:v>Capacitores cerámicos</x:v>
      </x:c>
      <x:c r="B8" t="str">
        <x:v>22pF</x:v>
      </x:c>
      <x:c r="C8" t="str">
        <x:v>220</x:v>
      </x:c>
      <x:c r="D8" t="n">
        <x:v>10</x:v>
      </x:c>
      <x:c r="E8" t="str">
        <x:v>Cerámico</x:v>
      </x:c>
      <x:c r="F8" t="str">
        <x:v>Cristal / RF</x:v>
      </x:c>
    </x:row>
    <x:row r="9">
      <x:c r="A9" t="str">
        <x:v>Capacitores cerámicos</x:v>
      </x:c>
      <x:c r="B9" t="str">
        <x:v>30pF</x:v>
      </x:c>
      <x:c r="C9" t="str">
        <x:v>300</x:v>
      </x:c>
      <x:c r="D9" t="n">
        <x:v>10</x:v>
      </x:c>
      <x:c r="E9" t="str">
        <x:v>Cerámico</x:v>
      </x:c>
      <x:c r="F9" t="str">
        <x:v>Cristal / RF</x:v>
      </x:c>
    </x:row>
    <x:row r="10">
      <x:c r="A10" t="str">
        <x:v>Capacitores cerámicos</x:v>
      </x:c>
      <x:c r="B10" t="str">
        <x:v>33pF</x:v>
      </x:c>
      <x:c r="C10" t="str">
        <x:v>330</x:v>
      </x:c>
      <x:c r="D10" t="n">
        <x:v>10</x:v>
      </x:c>
      <x:c r="E10" t="str">
        <x:v>Cerámico</x:v>
      </x:c>
      <x:c r="F10" t="str">
        <x:v>Cristal / RF</x:v>
      </x:c>
    </x:row>
    <x:row r="11">
      <x:c r="A11" t="str">
        <x:v>Capacitores cerámicos</x:v>
      </x:c>
      <x:c r="B11" t="str">
        <x:v>47pF</x:v>
      </x:c>
      <x:c r="C11" t="str">
        <x:v>470</x:v>
      </x:c>
      <x:c r="D11" t="n">
        <x:v>10</x:v>
      </x:c>
      <x:c r="E11" t="str">
        <x:v>Cerámico</x:v>
      </x:c>
      <x:c r="F11" t="str">
        <x:v>Filtro RF</x:v>
      </x:c>
    </x:row>
    <x:row r="12">
      <x:c r="A12" t="str">
        <x:v>Capacitores cerámicos</x:v>
      </x:c>
      <x:c r="B12" t="str">
        <x:v>56pF</x:v>
      </x:c>
      <x:c r="C12" t="str">
        <x:v>560</x:v>
      </x:c>
      <x:c r="D12" t="n">
        <x:v>10</x:v>
      </x:c>
      <x:c r="E12" t="str">
        <x:v>Cerámico</x:v>
      </x:c>
      <x:c r="F12" t="str">
        <x:v>Filtro RF</x:v>
      </x:c>
    </x:row>
    <x:row r="13">
      <x:c r="A13" t="str">
        <x:v>Capacitores cerámicos</x:v>
      </x:c>
      <x:c r="B13" t="str">
        <x:v>68pF</x:v>
      </x:c>
      <x:c r="C13" t="str">
        <x:v>680</x:v>
      </x:c>
      <x:c r="D13" t="n">
        <x:v>10</x:v>
      </x:c>
      <x:c r="E13" t="str">
        <x:v>Cerámico</x:v>
      </x:c>
      <x:c r="F13" t="str">
        <x:v>Filtro RF</x:v>
      </x:c>
    </x:row>
    <x:row r="14">
      <x:c r="A14" t="str">
        <x:v>Capacitores cerámicos</x:v>
      </x:c>
      <x:c r="B14" t="str">
        <x:v>82pF</x:v>
      </x:c>
      <x:c r="C14" t="str">
        <x:v>820</x:v>
      </x:c>
      <x:c r="D14" t="n">
        <x:v>10</x:v>
      </x:c>
      <x:c r="E14" t="str">
        <x:v>Cerámico</x:v>
      </x:c>
      <x:c r="F14" t="str">
        <x:v>Filtro RF</x:v>
      </x:c>
    </x:row>
    <x:row r="15">
      <x:c r="A15" t="str">
        <x:v>Capacitores cerámicos</x:v>
      </x:c>
      <x:c r="B15" t="str">
        <x:v>100pF</x:v>
      </x:c>
      <x:c r="C15" t="str">
        <x:v>101</x:v>
      </x:c>
      <x:c r="D15" t="n">
        <x:v>10</x:v>
      </x:c>
      <x:c r="E15" t="str">
        <x:v>Cerámico</x:v>
      </x:c>
      <x:c r="F15" t="str">
        <x:v>Filtro / desacoplo pequeño</x:v>
      </x:c>
    </x:row>
    <x:row r="16">
      <x:c r="A16" t="str">
        <x:v>Capacitores cerámicos</x:v>
      </x:c>
      <x:c r="B16" t="str">
        <x:v>150pF</x:v>
      </x:c>
      <x:c r="C16" t="str">
        <x:v>151</x:v>
      </x:c>
      <x:c r="D16" t="n">
        <x:v>10</x:v>
      </x:c>
      <x:c r="E16" t="str">
        <x:v>Cerámico</x:v>
      </x:c>
      <x:c r="F16" t="str">
        <x:v>Filtro</x:v>
      </x:c>
    </x:row>
    <x:row r="17">
      <x:c r="A17" t="str">
        <x:v>Capacitores cerámicos</x:v>
      </x:c>
      <x:c r="B17" t="str">
        <x:v>220pF</x:v>
      </x:c>
      <x:c r="C17" t="str">
        <x:v>221</x:v>
      </x:c>
      <x:c r="D17" t="n">
        <x:v>10</x:v>
      </x:c>
      <x:c r="E17" t="str">
        <x:v>Cerámico</x:v>
      </x:c>
      <x:c r="F17" t="str">
        <x:v>Filtro</x:v>
      </x:c>
    </x:row>
    <x:row r="18">
      <x:c r="A18" t="str">
        <x:v>Capacitores cerámicos</x:v>
      </x:c>
      <x:c r="B18" t="str">
        <x:v>330pF</x:v>
      </x:c>
      <x:c r="C18" t="str">
        <x:v>331</x:v>
      </x:c>
      <x:c r="D18" t="n">
        <x:v>10</x:v>
      </x:c>
      <x:c r="E18" t="str">
        <x:v>Cerámico</x:v>
      </x:c>
      <x:c r="F18" t="str">
        <x:v>Filtro</x:v>
      </x:c>
    </x:row>
    <x:row r="19">
      <x:c r="A19" t="str">
        <x:v>Capacitores cerámicos</x:v>
      </x:c>
      <x:c r="B19" t="str">
        <x:v>470pF</x:v>
      </x:c>
      <x:c r="C19" t="str">
        <x:v>471</x:v>
      </x:c>
      <x:c r="D19" t="n">
        <x:v>10</x:v>
      </x:c>
      <x:c r="E19" t="str">
        <x:v>Cerámico</x:v>
      </x:c>
      <x:c r="F19" t="str">
        <x:v>Filtro</x:v>
      </x:c>
    </x:row>
    <x:row r="20">
      <x:c r="A20" t="str">
        <x:v>Capacitores cerámicos</x:v>
      </x:c>
      <x:c r="B20" t="str">
        <x:v>680pF</x:v>
      </x:c>
      <x:c r="C20" t="str">
        <x:v>681</x:v>
      </x:c>
      <x:c r="D20" t="n">
        <x:v>10</x:v>
      </x:c>
      <x:c r="E20" t="str">
        <x:v>Cerámico</x:v>
      </x:c>
      <x:c r="F20" t="str">
        <x:v>Filtro</x:v>
      </x:c>
    </x:row>
    <x:row r="21">
      <x:c r="A21" t="str">
        <x:v>Capacitores cerámicos</x:v>
      </x:c>
      <x:c r="B21" t="str">
        <x:v>1nF</x:v>
      </x:c>
      <x:c r="C21" t="str">
        <x:v>102</x:v>
      </x:c>
      <x:c r="D21" t="n">
        <x:v>10</x:v>
      </x:c>
      <x:c r="E21" t="str">
        <x:v>Cerámico</x:v>
      </x:c>
      <x:c r="F21" t="str">
        <x:v>Filtros audio/RF</x:v>
      </x:c>
    </x:row>
    <x:row r="22">
      <x:c r="A22" t="str">
        <x:v>Capacitores cerámicos</x:v>
      </x:c>
      <x:c r="B22" t="str">
        <x:v>1.5nF</x:v>
      </x:c>
      <x:c r="C22" t="str">
        <x:v>152</x:v>
      </x:c>
      <x:c r="D22" t="n">
        <x:v>10</x:v>
      </x:c>
      <x:c r="E22" t="str">
        <x:v>Cerámico</x:v>
      </x:c>
      <x:c r="F22" t="str">
        <x:v>Filtros</x:v>
      </x:c>
    </x:row>
    <x:row r="23">
      <x:c r="A23" t="str">
        <x:v>Capacitores cerámicos</x:v>
      </x:c>
      <x:c r="B23" t="str">
        <x:v>2.2nF</x:v>
      </x:c>
      <x:c r="C23" t="str">
        <x:v>222</x:v>
      </x:c>
      <x:c r="D23" t="n">
        <x:v>10</x:v>
      </x:c>
      <x:c r="E23" t="str">
        <x:v>Cerámico</x:v>
      </x:c>
      <x:c r="F23" t="str">
        <x:v>Filtros</x:v>
      </x:c>
    </x:row>
    <x:row r="24">
      <x:c r="A24" t="str">
        <x:v>Capacitores cerámicos</x:v>
      </x:c>
      <x:c r="B24" t="str">
        <x:v>3.3nF</x:v>
      </x:c>
      <x:c r="C24" t="str">
        <x:v>332</x:v>
      </x:c>
      <x:c r="D24" t="n">
        <x:v>10</x:v>
      </x:c>
      <x:c r="E24" t="str">
        <x:v>Cerámico</x:v>
      </x:c>
      <x:c r="F24" t="str">
        <x:v>Filtros</x:v>
      </x:c>
    </x:row>
    <x:row r="25">
      <x:c r="A25" t="str">
        <x:v>Capacitores cerámicos</x:v>
      </x:c>
      <x:c r="B25" t="str">
        <x:v>4.7nF</x:v>
      </x:c>
      <x:c r="C25" t="str">
        <x:v>472</x:v>
      </x:c>
      <x:c r="D25" t="n">
        <x:v>10</x:v>
      </x:c>
      <x:c r="E25" t="str">
        <x:v>Cerámico</x:v>
      </x:c>
      <x:c r="F25" t="str">
        <x:v>Filtros audio</x:v>
      </x:c>
    </x:row>
    <x:row r="26">
      <x:c r="A26" t="str">
        <x:v>Capacitores cerámicos</x:v>
      </x:c>
      <x:c r="B26" t="str">
        <x:v>6.8nF</x:v>
      </x:c>
      <x:c r="C26" t="str">
        <x:v>682</x:v>
      </x:c>
      <x:c r="D26" t="n">
        <x:v>10</x:v>
      </x:c>
      <x:c r="E26" t="str">
        <x:v>Cerámico</x:v>
      </x:c>
      <x:c r="F26" t="str">
        <x:v>Filtros audio</x:v>
      </x:c>
    </x:row>
    <x:row r="27">
      <x:c r="A27" t="str">
        <x:v>Capacitores cerámicos</x:v>
      </x:c>
      <x:c r="B27" t="str">
        <x:v>10nF</x:v>
      </x:c>
      <x:c r="C27" t="str">
        <x:v>103</x:v>
      </x:c>
      <x:c r="D27" t="n">
        <x:v>10</x:v>
      </x:c>
      <x:c r="E27" t="str">
        <x:v>Cerámico</x:v>
      </x:c>
      <x:c r="F27" t="str">
        <x:v>Desacoplo/filtros</x:v>
      </x:c>
    </x:row>
    <x:row r="28">
      <x:c r="A28" t="str">
        <x:v>Capacitores cerámicos</x:v>
      </x:c>
      <x:c r="B28" t="str">
        <x:v>15nF</x:v>
      </x:c>
      <x:c r="C28" t="str">
        <x:v>153</x:v>
      </x:c>
      <x:c r="D28" t="n">
        <x:v>10</x:v>
      </x:c>
      <x:c r="E28" t="str">
        <x:v>Cerámico</x:v>
      </x:c>
      <x:c r="F28" t="str">
        <x:v>Filtros audio</x:v>
      </x:c>
    </x:row>
    <x:row r="29">
      <x:c r="A29" t="str">
        <x:v>Capacitores cerámicos</x:v>
      </x:c>
      <x:c r="B29" t="str">
        <x:v>22nF</x:v>
      </x:c>
      <x:c r="C29" t="str">
        <x:v>223</x:v>
      </x:c>
      <x:c r="D29" t="n">
        <x:v>10</x:v>
      </x:c>
      <x:c r="E29" t="str">
        <x:v>Cerámico</x:v>
      </x:c>
      <x:c r="F29" t="str">
        <x:v>Filtros audio</x:v>
      </x:c>
    </x:row>
    <x:row r="30">
      <x:c r="A30" t="str">
        <x:v>Capacitores cerámicos</x:v>
      </x:c>
      <x:c r="B30" t="str">
        <x:v>47nF</x:v>
      </x:c>
      <x:c r="C30" t="str">
        <x:v>473</x:v>
      </x:c>
      <x:c r="D30" t="n">
        <x:v>10</x:v>
      </x:c>
      <x:c r="E30" t="str">
        <x:v>Cerámico</x:v>
      </x:c>
      <x:c r="F30" t="str">
        <x:v>Filtros/desacoplo</x:v>
      </x:c>
    </x:row>
    <x:row r="31">
      <x:c r="A31" t="str">
        <x:v>Capacitores cerámicos</x:v>
      </x:c>
      <x:c r="B31" t="str">
        <x:v>68nF</x:v>
      </x:c>
      <x:c r="C31" t="str">
        <x:v>683</x:v>
      </x:c>
      <x:c r="D31" t="n">
        <x:v>10</x:v>
      </x:c>
      <x:c r="E31" t="str">
        <x:v>Cerámico</x:v>
      </x:c>
      <x:c r="F31" t="str">
        <x:v>Filtros/desacoplo</x:v>
      </x:c>
    </x:row>
    <x:row r="32">
      <x:c r="A32" t="str">
        <x:v>Capacitores cerámicos</x:v>
      </x:c>
      <x:c r="B32" t="str">
        <x:v>0.1uF</x:v>
      </x:c>
      <x:c r="C32" t="str">
        <x:v>104</x:v>
      </x:c>
      <x:c r="D32" t="n">
        <x:v>10</x:v>
      </x:c>
      <x:c r="E32" t="str">
        <x:v>Cerámico</x:v>
      </x:c>
      <x:c r="F32" t="str">
        <x:v>Desacoplo IC / Arduino</x:v>
      </x:c>
    </x:row>
    <x:row r="33">
      <x:c r="A33" t="str">
        <x:v>Electrolíticos</x:v>
      </x:c>
      <x:c r="B33" t="str">
        <x:v>0.22uF</x:v>
      </x:c>
      <x:c r="C33" t="str">
        <x:v>50V</x:v>
      </x:c>
      <x:c r="D33" t="n">
        <x:v>10</x:v>
      </x:c>
      <x:c r="E33" t="str">
        <x:v>Electrolítico</x:v>
      </x:c>
      <x:c r="F33" t="str">
        <x:v>Acoplo audio</x:v>
      </x:c>
    </x:row>
    <x:row r="34">
      <x:c r="A34" t="str">
        <x:v>Electrolíticos</x:v>
      </x:c>
      <x:c r="B34" t="str">
        <x:v>0.47uF</x:v>
      </x:c>
      <x:c r="C34" t="str">
        <x:v>50V</x:v>
      </x:c>
      <x:c r="D34" t="n">
        <x:v>10</x:v>
      </x:c>
      <x:c r="E34" t="str">
        <x:v>Electrolítico</x:v>
      </x:c>
      <x:c r="F34" t="str">
        <x:v>Acoplo audio</x:v>
      </x:c>
    </x:row>
    <x:row r="35">
      <x:c r="A35" t="str">
        <x:v>Electrolíticos</x:v>
      </x:c>
      <x:c r="B35" t="str">
        <x:v>1uF</x:v>
      </x:c>
      <x:c r="C35" t="str">
        <x:v>50V</x:v>
      </x:c>
      <x:c r="D35" t="n">
        <x:v>10</x:v>
      </x:c>
      <x:c r="E35" t="str">
        <x:v>Electrolítico</x:v>
      </x:c>
      <x:c r="F35" t="str">
        <x:v>Acoplo audio</x:v>
      </x:c>
    </x:row>
    <x:row r="36">
      <x:c r="A36" t="str">
        <x:v>Electrolíticos</x:v>
      </x:c>
      <x:c r="B36" t="str">
        <x:v>2.2uF</x:v>
      </x:c>
      <x:c r="C36" t="str">
        <x:v>50V</x:v>
      </x:c>
      <x:c r="D36" t="n">
        <x:v>10</x:v>
      </x:c>
      <x:c r="E36" t="str">
        <x:v>Electrolítico</x:v>
      </x:c>
      <x:c r="F36" t="str">
        <x:v>Acoplo audio</x:v>
      </x:c>
    </x:row>
    <x:row r="37">
      <x:c r="A37" t="str">
        <x:v>Electrolíticos</x:v>
      </x:c>
      <x:c r="B37" t="str">
        <x:v>4.7uF</x:v>
      </x:c>
      <x:c r="C37" t="str">
        <x:v>50V</x:v>
      </x:c>
      <x:c r="D37" t="n">
        <x:v>10</x:v>
      </x:c>
      <x:c r="E37" t="str">
        <x:v>Electrolítico</x:v>
      </x:c>
      <x:c r="F37" t="str">
        <x:v>Acoplo/filtro</x:v>
      </x:c>
    </x:row>
    <x:row r="38">
      <x:c r="A38" t="str">
        <x:v>Electrolíticos</x:v>
      </x:c>
      <x:c r="B38" t="str">
        <x:v>10uF</x:v>
      </x:c>
      <x:c r="C38" t="str">
        <x:v>50V</x:v>
      </x:c>
      <x:c r="D38" t="n">
        <x:v>10</x:v>
      </x:c>
      <x:c r="E38" t="str">
        <x:v>Electrolítico</x:v>
      </x:c>
      <x:c r="F38" t="str">
        <x:v>Filtro alimentación/audio</x:v>
      </x:c>
    </x:row>
    <x:row r="39">
      <x:c r="A39" t="str">
        <x:v>Electrolíticos</x:v>
      </x:c>
      <x:c r="B39" t="str">
        <x:v>22uF</x:v>
      </x:c>
      <x:c r="C39" t="str">
        <x:v>50V</x:v>
      </x:c>
      <x:c r="D39" t="n">
        <x:v>10</x:v>
      </x:c>
      <x:c r="E39" t="str">
        <x:v>Electrolítico</x:v>
      </x:c>
      <x:c r="F39" t="str">
        <x:v>Filtro alimentación/audio</x:v>
      </x:c>
    </x:row>
    <x:row r="40">
      <x:c r="A40" t="str">
        <x:v>Electrolíticos</x:v>
      </x:c>
      <x:c r="B40" t="str">
        <x:v>33uF</x:v>
      </x:c>
      <x:c r="C40" t="str">
        <x:v>16V</x:v>
      </x:c>
      <x:c r="D40" t="n">
        <x:v>10</x:v>
      </x:c>
      <x:c r="E40" t="str">
        <x:v>Electrolítico</x:v>
      </x:c>
      <x:c r="F40" t="str">
        <x:v>Filtro fuente</x:v>
      </x:c>
    </x:row>
    <x:row r="41">
      <x:c r="A41" t="str">
        <x:v>Electrolíticos</x:v>
      </x:c>
      <x:c r="B41" t="str">
        <x:v>47uF</x:v>
      </x:c>
      <x:c r="C41" t="str">
        <x:v>16V</x:v>
      </x:c>
      <x:c r="D41" t="n">
        <x:v>10</x:v>
      </x:c>
      <x:c r="E41" t="str">
        <x:v>Electrolítico</x:v>
      </x:c>
      <x:c r="F41" t="str">
        <x:v>Filtro fuente</x:v>
      </x:c>
    </x:row>
    <x:row r="42">
      <x:c r="A42" t="str">
        <x:v>Electrolíticos</x:v>
      </x:c>
      <x:c r="B42" t="str">
        <x:v>100uF</x:v>
      </x:c>
      <x:c r="C42" t="str">
        <x:v>16V</x:v>
      </x:c>
      <x:c r="D42" t="n">
        <x:v>10</x:v>
      </x:c>
      <x:c r="E42" t="str">
        <x:v>Electrolítico</x:v>
      </x:c>
      <x:c r="F42" t="str">
        <x:v>Filtro fuente</x:v>
      </x:c>
    </x:row>
    <x:row r="43">
      <x:c r="A43" t="str">
        <x:v>Electrolíticos</x:v>
      </x:c>
      <x:c r="B43" t="str">
        <x:v>220uF</x:v>
      </x:c>
      <x:c r="C43" t="str">
        <x:v>16V</x:v>
      </x:c>
      <x:c r="D43" t="n">
        <x:v>10</x:v>
      </x:c>
      <x:c r="E43" t="str">
        <x:v>Electrolítico</x:v>
      </x:c>
      <x:c r="F43" t="str">
        <x:v>Filtro fuente</x:v>
      </x:c>
    </x:row>
    <x:row r="44">
      <x:c r="A44" t="str">
        <x:v>Electrolíticos</x:v>
      </x:c>
      <x:c r="B44" t="str">
        <x:v>470uF</x:v>
      </x:c>
      <x:c r="C44" t="str">
        <x:v>16V</x:v>
      </x:c>
      <x:c r="D44" t="n">
        <x:v>10</x:v>
      </x:c>
      <x:c r="E44" t="str">
        <x:v>Electrolítico</x:v>
      </x:c>
      <x:c r="F44" t="str">
        <x:v>Filtro fuente</x:v>
      </x:c>
    </x:row>
  </x:sheetData>
  <x:pageMargins left="0.7" right="0.7" top="0.75" bottom="0.75" header="0.3" footer="0.3"/>
  <x:tableParts count="1">
    <x:tablePart xmlns:r="http://schemas.openxmlformats.org/officeDocument/2006/relationships" r:id="R79d96254cb6a4e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6.860000133514404" hidden="0" customWidth="1"/>
    <x:col min="3" max="3" width="8.210000038146973" hidden="0" customWidth="1"/>
    <x:col min="4" max="4" width="9.960000038146973" hidden="0" customWidth="1"/>
    <x:col min="5" max="5" width="6.190000057220459" hidden="0" customWidth="1"/>
    <x:col min="6" max="6" width="22.75" hidden="0" customWidth="1"/>
  </x:cols>
  <x:sheetData>
    <x:row r="1">
      <x:c r="A1" s="10" t="str">
        <x:v>Categoría</x:v>
      </x:c>
      <x:c r="B1" s="10" t="str">
        <x:v>Valor</x:v>
      </x:c>
      <x:c r="C1" s="10" t="str">
        <x:v>Código</x:v>
      </x:c>
      <x:c r="D1" s="10" t="str">
        <x:v>Cantidad</x:v>
      </x:c>
      <x:c r="E1" s="10" t="str">
        <x:v>Tipo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Resistencias 1/4W 1%</x:v>
      </x:c>
      <x:c r="B2" t="str">
        <x:v>0Ω</x:v>
      </x:c>
      <x:c r="C2" t="str"/>
      <x:c r="D2" t="n">
        <x:v>20</x:v>
      </x:c>
      <x:c r="E2" t="str">
        <x:v>Axial</x:v>
      </x:c>
      <x:c r="F2" t="str">
        <x:v>Polarización/filtros/divisores</x:v>
      </x:c>
    </x:row>
    <x:row r="3">
      <x:c r="A3" t="str">
        <x:v>Resistencias 1/4W 1%</x:v>
      </x:c>
      <x:c r="B3" t="str">
        <x:v>0.5Ω</x:v>
      </x:c>
      <x:c r="C3" t="str"/>
      <x:c r="D3" t="n">
        <x:v>20</x:v>
      </x:c>
      <x:c r="E3" t="str">
        <x:v>Axial</x:v>
      </x:c>
      <x:c r="F3" t="str">
        <x:v>Polarización/filtros/divisores</x:v>
      </x:c>
    </x:row>
    <x:row r="4">
      <x:c r="A4" t="str">
        <x:v>Resistencias 1/4W 1%</x:v>
      </x:c>
      <x:c r="B4" t="str">
        <x:v>1Ω</x:v>
      </x:c>
      <x:c r="C4" t="str"/>
      <x:c r="D4" t="n">
        <x:v>20</x:v>
      </x:c>
      <x:c r="E4" t="str">
        <x:v>Axial</x:v>
      </x:c>
      <x:c r="F4" t="str">
        <x:v>Polarización/filtros/divisores</x:v>
      </x:c>
    </x:row>
    <x:row r="5">
      <x:c r="A5" t="str">
        <x:v>Resistencias 1/4W 1%</x:v>
      </x:c>
      <x:c r="B5" t="str">
        <x:v>2.2Ω</x:v>
      </x:c>
      <x:c r="C5" t="str"/>
      <x:c r="D5" t="n">
        <x:v>20</x:v>
      </x:c>
      <x:c r="E5" t="str">
        <x:v>Axial</x:v>
      </x:c>
      <x:c r="F5" t="str">
        <x:v>Polarización/filtros/divisores</x:v>
      </x:c>
    </x:row>
    <x:row r="6">
      <x:c r="A6" t="str">
        <x:v>Resistencias 1/4W 1%</x:v>
      </x:c>
      <x:c r="B6" t="str">
        <x:v>3.3Ω</x:v>
      </x:c>
      <x:c r="C6" t="str"/>
      <x:c r="D6" t="n">
        <x:v>20</x:v>
      </x:c>
      <x:c r="E6" t="str">
        <x:v>Axial</x:v>
      </x:c>
      <x:c r="F6" t="str">
        <x:v>Polarización/filtros/divisores</x:v>
      </x:c>
    </x:row>
    <x:row r="7">
      <x:c r="A7" t="str">
        <x:v>Resistencias 1/4W 1%</x:v>
      </x:c>
      <x:c r="B7" t="str">
        <x:v>4.7Ω</x:v>
      </x:c>
      <x:c r="C7" t="str"/>
      <x:c r="D7" t="n">
        <x:v>20</x:v>
      </x:c>
      <x:c r="E7" t="str">
        <x:v>Axial</x:v>
      </x:c>
      <x:c r="F7" t="str">
        <x:v>Polarización/filtros/divisores</x:v>
      </x:c>
    </x:row>
    <x:row r="8">
      <x:c r="A8" t="str">
        <x:v>Resistencias 1/4W 1%</x:v>
      </x:c>
      <x:c r="B8" t="str">
        <x:v>5.6Ω</x:v>
      </x:c>
      <x:c r="C8" t="str"/>
      <x:c r="D8" t="n">
        <x:v>20</x:v>
      </x:c>
      <x:c r="E8" t="str">
        <x:v>Axial</x:v>
      </x:c>
      <x:c r="F8" t="str">
        <x:v>Polarización/filtros/divisores</x:v>
      </x:c>
    </x:row>
    <x:row r="9">
      <x:c r="A9" t="str">
        <x:v>Resistencias 1/4W 1%</x:v>
      </x:c>
      <x:c r="B9" t="str">
        <x:v>6.8Ω</x:v>
      </x:c>
      <x:c r="C9" t="str"/>
      <x:c r="D9" t="n">
        <x:v>20</x:v>
      </x:c>
      <x:c r="E9" t="str">
        <x:v>Axial</x:v>
      </x:c>
      <x:c r="F9" t="str">
        <x:v>Polarización/filtros/divisores</x:v>
      </x:c>
    </x:row>
    <x:row r="10">
      <x:c r="A10" t="str">
        <x:v>Resistencias 1/4W 1%</x:v>
      </x:c>
      <x:c r="B10" t="str">
        <x:v>8.2Ω</x:v>
      </x:c>
      <x:c r="C10" t="str"/>
      <x:c r="D10" t="n">
        <x:v>20</x:v>
      </x:c>
      <x:c r="E10" t="str">
        <x:v>Axial</x:v>
      </x:c>
      <x:c r="F10" t="str">
        <x:v>Polarización/filtros/divisores</x:v>
      </x:c>
    </x:row>
    <x:row r="11">
      <x:c r="A11" t="str">
        <x:v>Resistencias 1/4W 1%</x:v>
      </x:c>
      <x:c r="B11" t="str">
        <x:v>10Ω</x:v>
      </x:c>
      <x:c r="C11" t="str"/>
      <x:c r="D11" t="n">
        <x:v>20</x:v>
      </x:c>
      <x:c r="E11" t="str">
        <x:v>Axial</x:v>
      </x:c>
      <x:c r="F11" t="str">
        <x:v>Polarización/filtros/divisores</x:v>
      </x:c>
    </x:row>
    <x:row r="12">
      <x:c r="A12" t="str">
        <x:v>Resistencias 1/4W 1%</x:v>
      </x:c>
      <x:c r="B12" t="str">
        <x:v>22Ω</x:v>
      </x:c>
      <x:c r="C12" t="str"/>
      <x:c r="D12" t="n">
        <x:v>20</x:v>
      </x:c>
      <x:c r="E12" t="str">
        <x:v>Axial</x:v>
      </x:c>
      <x:c r="F12" t="str">
        <x:v>Polarización/filtros/divisores</x:v>
      </x:c>
    </x:row>
    <x:row r="13">
      <x:c r="A13" t="str">
        <x:v>Resistencias 1/4W 1%</x:v>
      </x:c>
      <x:c r="B13" t="str">
        <x:v>33Ω</x:v>
      </x:c>
      <x:c r="C13" t="str"/>
      <x:c r="D13" t="n">
        <x:v>20</x:v>
      </x:c>
      <x:c r="E13" t="str">
        <x:v>Axial</x:v>
      </x:c>
      <x:c r="F13" t="str">
        <x:v>Polarización/filtros/divisores</x:v>
      </x:c>
    </x:row>
    <x:row r="14">
      <x:c r="A14" t="str">
        <x:v>Resistencias 1/4W 1%</x:v>
      </x:c>
      <x:c r="B14" t="str">
        <x:v>47Ω</x:v>
      </x:c>
      <x:c r="C14" t="str"/>
      <x:c r="D14" t="n">
        <x:v>20</x:v>
      </x:c>
      <x:c r="E14" t="str">
        <x:v>Axial</x:v>
      </x:c>
      <x:c r="F14" t="str">
        <x:v>Polarización/filtros/divisores</x:v>
      </x:c>
    </x:row>
    <x:row r="15">
      <x:c r="A15" t="str">
        <x:v>Resistencias 1/4W 1%</x:v>
      </x:c>
      <x:c r="B15" t="str">
        <x:v>56Ω</x:v>
      </x:c>
      <x:c r="C15" t="str"/>
      <x:c r="D15" t="n">
        <x:v>20</x:v>
      </x:c>
      <x:c r="E15" t="str">
        <x:v>Axial</x:v>
      </x:c>
      <x:c r="F15" t="str">
        <x:v>Polarización/filtros/divisores</x:v>
      </x:c>
    </x:row>
    <x:row r="16">
      <x:c r="A16" t="str">
        <x:v>Resistencias 1/4W 1%</x:v>
      </x:c>
      <x:c r="B16" t="str">
        <x:v>68Ω</x:v>
      </x:c>
      <x:c r="C16" t="str"/>
      <x:c r="D16" t="n">
        <x:v>20</x:v>
      </x:c>
      <x:c r="E16" t="str">
        <x:v>Axial</x:v>
      </x:c>
      <x:c r="F16" t="str">
        <x:v>Polarización/filtros/divisores</x:v>
      </x:c>
    </x:row>
    <x:row r="17">
      <x:c r="A17" t="str">
        <x:v>Resistencias 1/4W 1%</x:v>
      </x:c>
      <x:c r="B17" t="str">
        <x:v>82Ω</x:v>
      </x:c>
      <x:c r="C17" t="str"/>
      <x:c r="D17" t="n">
        <x:v>20</x:v>
      </x:c>
      <x:c r="E17" t="str">
        <x:v>Axial</x:v>
      </x:c>
      <x:c r="F17" t="str">
        <x:v>Polarización/filtros/divisores</x:v>
      </x:c>
    </x:row>
    <x:row r="18">
      <x:c r="A18" t="str">
        <x:v>Resistencias 1/4W 1%</x:v>
      </x:c>
      <x:c r="B18" t="str">
        <x:v>100Ω</x:v>
      </x:c>
      <x:c r="C18" t="str"/>
      <x:c r="D18" t="n">
        <x:v>20</x:v>
      </x:c>
      <x:c r="E18" t="str">
        <x:v>Axial</x:v>
      </x:c>
      <x:c r="F18" t="str">
        <x:v>Polarización/filtros/divisores</x:v>
      </x:c>
    </x:row>
    <x:row r="19">
      <x:c r="A19" t="str">
        <x:v>Resistencias 1/4W 1%</x:v>
      </x:c>
      <x:c r="B19" t="str">
        <x:v>220Ω</x:v>
      </x:c>
      <x:c r="C19" t="str"/>
      <x:c r="D19" t="n">
        <x:v>20</x:v>
      </x:c>
      <x:c r="E19" t="str">
        <x:v>Axial</x:v>
      </x:c>
      <x:c r="F19" t="str">
        <x:v>Polarización/filtros/divisores</x:v>
      </x:c>
    </x:row>
    <x:row r="20">
      <x:c r="A20" t="str">
        <x:v>Resistencias 1/4W 1%</x:v>
      </x:c>
      <x:c r="B20" t="str">
        <x:v>330Ω</x:v>
      </x:c>
      <x:c r="C20" t="str"/>
      <x:c r="D20" t="n">
        <x:v>20</x:v>
      </x:c>
      <x:c r="E20" t="str">
        <x:v>Axial</x:v>
      </x:c>
      <x:c r="F20" t="str">
        <x:v>Polarización/filtros/divisores</x:v>
      </x:c>
    </x:row>
    <x:row r="21">
      <x:c r="A21" t="str">
        <x:v>Resistencias 1/4W 1%</x:v>
      </x:c>
      <x:c r="B21" t="str">
        <x:v>470Ω</x:v>
      </x:c>
      <x:c r="C21" t="str"/>
      <x:c r="D21" t="n">
        <x:v>20</x:v>
      </x:c>
      <x:c r="E21" t="str">
        <x:v>Axial</x:v>
      </x:c>
      <x:c r="F21" t="str">
        <x:v>Polarización/filtros/divisores</x:v>
      </x:c>
    </x:row>
    <x:row r="22">
      <x:c r="A22" t="str">
        <x:v>Resistencias 1/4W 1%</x:v>
      </x:c>
      <x:c r="B22" t="str">
        <x:v>560Ω</x:v>
      </x:c>
      <x:c r="C22" t="str"/>
      <x:c r="D22" t="n">
        <x:v>20</x:v>
      </x:c>
      <x:c r="E22" t="str">
        <x:v>Axial</x:v>
      </x:c>
      <x:c r="F22" t="str">
        <x:v>Polarización/filtros/divisores</x:v>
      </x:c>
    </x:row>
    <x:row r="23">
      <x:c r="A23" t="str">
        <x:v>Resistencias 1/4W 1%</x:v>
      </x:c>
      <x:c r="B23" t="str">
        <x:v>680Ω</x:v>
      </x:c>
      <x:c r="C23" t="str"/>
      <x:c r="D23" t="n">
        <x:v>20</x:v>
      </x:c>
      <x:c r="E23" t="str">
        <x:v>Axial</x:v>
      </x:c>
      <x:c r="F23" t="str">
        <x:v>Polarización/filtros/divisores</x:v>
      </x:c>
    </x:row>
    <x:row r="24">
      <x:c r="A24" t="str">
        <x:v>Resistencias 1/4W 1%</x:v>
      </x:c>
      <x:c r="B24" t="str">
        <x:v>820Ω</x:v>
      </x:c>
      <x:c r="C24" t="str"/>
      <x:c r="D24" t="n">
        <x:v>20</x:v>
      </x:c>
      <x:c r="E24" t="str">
        <x:v>Axial</x:v>
      </x:c>
      <x:c r="F24" t="str">
        <x:v>Polarización/filtros/divisores</x:v>
      </x:c>
    </x:row>
    <x:row r="25">
      <x:c r="A25" t="str">
        <x:v>Resistencias 1/4W 1%</x:v>
      </x:c>
      <x:c r="B25" t="str">
        <x:v>1K</x:v>
      </x:c>
      <x:c r="C25" t="str"/>
      <x:c r="D25" t="n">
        <x:v>20</x:v>
      </x:c>
      <x:c r="E25" t="str">
        <x:v>Axial</x:v>
      </x:c>
      <x:c r="F25" t="str">
        <x:v>Polarización/filtros/divisores</x:v>
      </x:c>
    </x:row>
    <x:row r="26">
      <x:c r="A26" t="str">
        <x:v>Resistencias 1/4W 1%</x:v>
      </x:c>
      <x:c r="B26" t="str">
        <x:v>2.2K</x:v>
      </x:c>
      <x:c r="C26" t="str"/>
      <x:c r="D26" t="n">
        <x:v>20</x:v>
      </x:c>
      <x:c r="E26" t="str">
        <x:v>Axial</x:v>
      </x:c>
      <x:c r="F26" t="str">
        <x:v>Polarización/filtros/divisores</x:v>
      </x:c>
    </x:row>
    <x:row r="27">
      <x:c r="A27" t="str">
        <x:v>Resistencias 1/4W 1%</x:v>
      </x:c>
      <x:c r="B27" t="str">
        <x:v>3.3K</x:v>
      </x:c>
      <x:c r="C27" t="str"/>
      <x:c r="D27" t="n">
        <x:v>20</x:v>
      </x:c>
      <x:c r="E27" t="str">
        <x:v>Axial</x:v>
      </x:c>
      <x:c r="F27" t="str">
        <x:v>Polarización/filtros/divisores</x:v>
      </x:c>
    </x:row>
    <x:row r="28">
      <x:c r="A28" t="str">
        <x:v>Resistencias 1/4W 1%</x:v>
      </x:c>
      <x:c r="B28" t="str">
        <x:v>4.7K</x:v>
      </x:c>
      <x:c r="C28" t="str"/>
      <x:c r="D28" t="n">
        <x:v>20</x:v>
      </x:c>
      <x:c r="E28" t="str">
        <x:v>Axial</x:v>
      </x:c>
      <x:c r="F28" t="str">
        <x:v>Polarización/filtros/divisores</x:v>
      </x:c>
    </x:row>
    <x:row r="29">
      <x:c r="A29" t="str">
        <x:v>Resistencias 1/4W 1%</x:v>
      </x:c>
      <x:c r="B29" t="str">
        <x:v>5.6K</x:v>
      </x:c>
      <x:c r="C29" t="str"/>
      <x:c r="D29" t="n">
        <x:v>20</x:v>
      </x:c>
      <x:c r="E29" t="str">
        <x:v>Axial</x:v>
      </x:c>
      <x:c r="F29" t="str">
        <x:v>Polarización/filtros/divisores</x:v>
      </x:c>
    </x:row>
    <x:row r="30">
      <x:c r="A30" t="str">
        <x:v>Resistencias 1/4W 1%</x:v>
      </x:c>
      <x:c r="B30" t="str">
        <x:v>6.8K</x:v>
      </x:c>
      <x:c r="C30" t="str"/>
      <x:c r="D30" t="n">
        <x:v>20</x:v>
      </x:c>
      <x:c r="E30" t="str">
        <x:v>Axial</x:v>
      </x:c>
      <x:c r="F30" t="str">
        <x:v>Polarización/filtros/divisores</x:v>
      </x:c>
    </x:row>
    <x:row r="31">
      <x:c r="A31" t="str">
        <x:v>Resistencias 1/4W 1%</x:v>
      </x:c>
      <x:c r="B31" t="str">
        <x:v>8.2K</x:v>
      </x:c>
      <x:c r="C31" t="str"/>
      <x:c r="D31" t="n">
        <x:v>20</x:v>
      </x:c>
      <x:c r="E31" t="str">
        <x:v>Axial</x:v>
      </x:c>
      <x:c r="F31" t="str">
        <x:v>Polarización/filtros/divisores</x:v>
      </x:c>
    </x:row>
    <x:row r="32">
      <x:c r="A32" t="str">
        <x:v>Resistencias 1/4W 1%</x:v>
      </x:c>
      <x:c r="B32" t="str">
        <x:v>10K</x:v>
      </x:c>
      <x:c r="C32" t="str"/>
      <x:c r="D32" t="n">
        <x:v>20</x:v>
      </x:c>
      <x:c r="E32" t="str">
        <x:v>Axial</x:v>
      </x:c>
      <x:c r="F32" t="str">
        <x:v>Polarización/filtros/divisores</x:v>
      </x:c>
    </x:row>
    <x:row r="33">
      <x:c r="A33" t="str">
        <x:v>Resistencias 1/4W 1%</x:v>
      </x:c>
      <x:c r="B33" t="str">
        <x:v>22K</x:v>
      </x:c>
      <x:c r="C33" t="str"/>
      <x:c r="D33" t="n">
        <x:v>20</x:v>
      </x:c>
      <x:c r="E33" t="str">
        <x:v>Axial</x:v>
      </x:c>
      <x:c r="F33" t="str">
        <x:v>Polarización/filtros/divisores</x:v>
      </x:c>
    </x:row>
    <x:row r="34">
      <x:c r="A34" t="str">
        <x:v>Resistencias 1/4W 1%</x:v>
      </x:c>
      <x:c r="B34" t="str">
        <x:v>33K</x:v>
      </x:c>
      <x:c r="C34" t="str"/>
      <x:c r="D34" t="n">
        <x:v>20</x:v>
      </x:c>
      <x:c r="E34" t="str">
        <x:v>Axial</x:v>
      </x:c>
      <x:c r="F34" t="str">
        <x:v>Polarización/filtros/divisores</x:v>
      </x:c>
    </x:row>
    <x:row r="35">
      <x:c r="A35" t="str">
        <x:v>Resistencias 1/4W 1%</x:v>
      </x:c>
      <x:c r="B35" t="str">
        <x:v>47K</x:v>
      </x:c>
      <x:c r="C35" t="str"/>
      <x:c r="D35" t="n">
        <x:v>20</x:v>
      </x:c>
      <x:c r="E35" t="str">
        <x:v>Axial</x:v>
      </x:c>
      <x:c r="F35" t="str">
        <x:v>Polarización/filtros/divisores</x:v>
      </x:c>
    </x:row>
    <x:row r="36">
      <x:c r="A36" t="str">
        <x:v>Resistencias 1/4W 1%</x:v>
      </x:c>
      <x:c r="B36" t="str">
        <x:v>56K</x:v>
      </x:c>
      <x:c r="C36" t="str"/>
      <x:c r="D36" t="n">
        <x:v>20</x:v>
      </x:c>
      <x:c r="E36" t="str">
        <x:v>Axial</x:v>
      </x:c>
      <x:c r="F36" t="str">
        <x:v>Polarización/filtros/divisores</x:v>
      </x:c>
    </x:row>
    <x:row r="37">
      <x:c r="A37" t="str">
        <x:v>Resistencias 1/4W 1%</x:v>
      </x:c>
      <x:c r="B37" t="str">
        <x:v>68K</x:v>
      </x:c>
      <x:c r="C37" t="str"/>
      <x:c r="D37" t="n">
        <x:v>20</x:v>
      </x:c>
      <x:c r="E37" t="str">
        <x:v>Axial</x:v>
      </x:c>
      <x:c r="F37" t="str">
        <x:v>Polarización/filtros/divisores</x:v>
      </x:c>
    </x:row>
    <x:row r="38">
      <x:c r="A38" t="str">
        <x:v>Resistencias 1/4W 1%</x:v>
      </x:c>
      <x:c r="B38" t="str">
        <x:v>82K</x:v>
      </x:c>
      <x:c r="C38" t="str"/>
      <x:c r="D38" t="n">
        <x:v>20</x:v>
      </x:c>
      <x:c r="E38" t="str">
        <x:v>Axial</x:v>
      </x:c>
      <x:c r="F38" t="str">
        <x:v>Polarización/filtros/divisores</x:v>
      </x:c>
    </x:row>
    <x:row r="39">
      <x:c r="A39" t="str">
        <x:v>Resistencias 1/4W 1%</x:v>
      </x:c>
      <x:c r="B39" t="str">
        <x:v>100K</x:v>
      </x:c>
      <x:c r="C39" t="str"/>
      <x:c r="D39" t="n">
        <x:v>20</x:v>
      </x:c>
      <x:c r="E39" t="str">
        <x:v>Axial</x:v>
      </x:c>
      <x:c r="F39" t="str">
        <x:v>Polarización/filtros/divisores</x:v>
      </x:c>
    </x:row>
    <x:row r="40">
      <x:c r="A40" t="str">
        <x:v>Resistencias 1/4W 1%</x:v>
      </x:c>
      <x:c r="B40" t="str">
        <x:v>220K</x:v>
      </x:c>
      <x:c r="C40" t="str"/>
      <x:c r="D40" t="n">
        <x:v>20</x:v>
      </x:c>
      <x:c r="E40" t="str">
        <x:v>Axial</x:v>
      </x:c>
      <x:c r="F40" t="str">
        <x:v>Polarización/filtros/divisores</x:v>
      </x:c>
    </x:row>
    <x:row r="41">
      <x:c r="A41" t="str">
        <x:v>Resistencias 1/4W 1%</x:v>
      </x:c>
      <x:c r="B41" t="str">
        <x:v>330K</x:v>
      </x:c>
      <x:c r="C41" t="str"/>
      <x:c r="D41" t="n">
        <x:v>20</x:v>
      </x:c>
      <x:c r="E41" t="str">
        <x:v>Axial</x:v>
      </x:c>
      <x:c r="F41" t="str">
        <x:v>Polarización/filtros/divisores</x:v>
      </x:c>
    </x:row>
    <x:row r="42">
      <x:c r="A42" t="str">
        <x:v>Resistencias 1/4W 1%</x:v>
      </x:c>
      <x:c r="B42" t="str">
        <x:v>470K</x:v>
      </x:c>
      <x:c r="C42" t="str"/>
      <x:c r="D42" t="n">
        <x:v>20</x:v>
      </x:c>
      <x:c r="E42" t="str">
        <x:v>Axial</x:v>
      </x:c>
      <x:c r="F42" t="str">
        <x:v>Polarización/filtros/divisores</x:v>
      </x:c>
    </x:row>
    <x:row r="43">
      <x:c r="A43" t="str">
        <x:v>Resistencias 1/4W 1%</x:v>
      </x:c>
      <x:c r="B43" t="str">
        <x:v>560K</x:v>
      </x:c>
      <x:c r="C43" t="str"/>
      <x:c r="D43" t="n">
        <x:v>20</x:v>
      </x:c>
      <x:c r="E43" t="str">
        <x:v>Axial</x:v>
      </x:c>
      <x:c r="F43" t="str">
        <x:v>Polarización/filtros/divisores</x:v>
      </x:c>
    </x:row>
    <x:row r="44">
      <x:c r="A44" t="str">
        <x:v>Resistencias 1/4W 1%</x:v>
      </x:c>
      <x:c r="B44" t="str">
        <x:v>680K</x:v>
      </x:c>
      <x:c r="C44" t="str"/>
      <x:c r="D44" t="n">
        <x:v>20</x:v>
      </x:c>
      <x:c r="E44" t="str">
        <x:v>Axial</x:v>
      </x:c>
      <x:c r="F44" t="str">
        <x:v>Polarización/filtros/divisores</x:v>
      </x:c>
    </x:row>
    <x:row r="45">
      <x:c r="A45" t="str">
        <x:v>Resistencias 1/4W 1%</x:v>
      </x:c>
      <x:c r="B45" t="str">
        <x:v>820K</x:v>
      </x:c>
      <x:c r="C45" t="str"/>
      <x:c r="D45" t="n">
        <x:v>20</x:v>
      </x:c>
      <x:c r="E45" t="str">
        <x:v>Axial</x:v>
      </x:c>
      <x:c r="F45" t="str">
        <x:v>Polarización/filtros/divisores</x:v>
      </x:c>
    </x:row>
    <x:row r="46">
      <x:c r="A46" t="str">
        <x:v>Resistencias 1/4W 1%</x:v>
      </x:c>
      <x:c r="B46" t="str">
        <x:v>1M</x:v>
      </x:c>
      <x:c r="C46" t="str"/>
      <x:c r="D46" t="n">
        <x:v>20</x:v>
      </x:c>
      <x:c r="E46" t="str">
        <x:v>Axial</x:v>
      </x:c>
      <x:c r="F46" t="str">
        <x:v>Polarización/filtros/divisores</x:v>
      </x:c>
    </x:row>
    <x:row r="47">
      <x:c r="A47" t="str">
        <x:v>Resistencias 1/4W 1%</x:v>
      </x:c>
      <x:c r="B47" t="str">
        <x:v>2.2M</x:v>
      </x:c>
      <x:c r="C47" t="str"/>
      <x:c r="D47" t="n">
        <x:v>20</x:v>
      </x:c>
      <x:c r="E47" t="str">
        <x:v>Axial</x:v>
      </x:c>
      <x:c r="F47" t="str">
        <x:v>Polarización/filtros/divisores</x:v>
      </x:c>
    </x:row>
    <x:row r="48">
      <x:c r="A48" t="str">
        <x:v>Resistencias 1/4W 1%</x:v>
      </x:c>
      <x:c r="B48" t="str">
        <x:v>3.3M</x:v>
      </x:c>
      <x:c r="C48" t="str"/>
      <x:c r="D48" t="n">
        <x:v>20</x:v>
      </x:c>
      <x:c r="E48" t="str">
        <x:v>Axial</x:v>
      </x:c>
      <x:c r="F48" t="str">
        <x:v>Polarización/filtros/divisores</x:v>
      </x:c>
    </x:row>
    <x:row r="49">
      <x:c r="A49" t="str">
        <x:v>Resistencias 1/4W 1%</x:v>
      </x:c>
      <x:c r="B49" t="str">
        <x:v>4.7M</x:v>
      </x:c>
      <x:c r="C49" t="str"/>
      <x:c r="D49" t="n">
        <x:v>20</x:v>
      </x:c>
      <x:c r="E49" t="str">
        <x:v>Axial</x:v>
      </x:c>
      <x:c r="F49" t="str">
        <x:v>Polarización/filtros/divisores</x:v>
      </x:c>
    </x:row>
    <x:row r="50">
      <x:c r="A50" t="str">
        <x:v>Resistencias 1/4W 1%</x:v>
      </x:c>
      <x:c r="B50" t="str">
        <x:v>4.3M</x:v>
      </x:c>
      <x:c r="C50" t="str"/>
      <x:c r="D50" t="n">
        <x:v>20</x:v>
      </x:c>
      <x:c r="E50" t="str">
        <x:v>Axial</x:v>
      </x:c>
      <x:c r="F50" t="str">
        <x:v>Polarización/filtros/divisores</x:v>
      </x:c>
    </x:row>
    <x:row r="51">
      <x:c r="A51" t="str">
        <x:v>Resistencias 1/4W 1%</x:v>
      </x:c>
      <x:c r="B51" t="str">
        <x:v>10M</x:v>
      </x:c>
      <x:c r="C51" t="str"/>
      <x:c r="D51" t="n">
        <x:v>20</x:v>
      </x:c>
      <x:c r="E51" t="str">
        <x:v>Axial</x:v>
      </x:c>
      <x:c r="F51" t="str">
        <x:v>Polarización/filtros/divisores</x:v>
      </x:c>
    </x:row>
  </x:sheetData>
  <x:pageMargins left="0.7" right="0.7" top="0.75" bottom="0.75" header="0.3" footer="0.3"/>
  <x:tableParts count="1">
    <x:tablePart xmlns:r="http://schemas.openxmlformats.org/officeDocument/2006/relationships" r:id="Racb3dd0dccb641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9.020000457763672" hidden="0" customWidth="1"/>
    <x:col min="3" max="3" width="6.190000057220459" hidden="0" customWidth="1"/>
    <x:col min="4" max="4" width="9.960000038146973" hidden="0" customWidth="1"/>
    <x:col min="5" max="5" width="9.420000076293945" hidden="0" customWidth="1"/>
    <x:col min="6" max="6" width="17.6299991607666" hidden="0" customWidth="1"/>
  </x:cols>
  <x:sheetData>
    <x:row r="1">
      <x:c r="A1" s="10" t="str">
        <x:v>Categoría</x:v>
      </x:c>
      <x:c r="B1" s="10" t="str">
        <x:v>Modelo</x:v>
      </x:c>
      <x:c r="C1" s="10" t="str">
        <x:v>Tipo</x:v>
      </x:c>
      <x:c r="D1" s="10" t="str">
        <x:v>Cantidad</x:v>
      </x:c>
      <x:c r="E1" s="10" t="str">
        <x:v>Paquete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Transistores</x:v>
      </x:c>
      <x:c r="B2" t="str">
        <x:v>S8050</x:v>
      </x:c>
      <x:c r="C2" t="str">
        <x:v>NPN</x:v>
      </x:c>
      <x:c r="D2" t="n">
        <x:v>10</x:v>
      </x:c>
      <x:c r="E2" t="str">
        <x:v>TO-92</x:v>
      </x:c>
      <x:c r="F2" t="str">
        <x:v>Conmutación / driver</x:v>
      </x:c>
    </x:row>
    <x:row r="3">
      <x:c r="A3" t="str">
        <x:v>Transistores</x:v>
      </x:c>
      <x:c r="B3" t="str">
        <x:v>S8550</x:v>
      </x:c>
      <x:c r="C3" t="str">
        <x:v>PNP</x:v>
      </x:c>
      <x:c r="D3" t="n">
        <x:v>10</x:v>
      </x:c>
      <x:c r="E3" t="str">
        <x:v>TO-92</x:v>
      </x:c>
      <x:c r="F3" t="str">
        <x:v>Complemento / driver</x:v>
      </x:c>
    </x:row>
    <x:row r="4">
      <x:c r="A4" t="str">
        <x:v>Transistores</x:v>
      </x:c>
      <x:c r="B4" t="str">
        <x:v>S9012</x:v>
      </x:c>
      <x:c r="C4" t="str">
        <x:v>PNP</x:v>
      </x:c>
      <x:c r="D4" t="n">
        <x:v>10</x:v>
      </x:c>
      <x:c r="E4" t="str">
        <x:v>TO-92</x:v>
      </x:c>
      <x:c r="F4" t="str">
        <x:v>Señal general</x:v>
      </x:c>
    </x:row>
    <x:row r="5">
      <x:c r="A5" t="str">
        <x:v>Transistores</x:v>
      </x:c>
      <x:c r="B5" t="str">
        <x:v>S9013</x:v>
      </x:c>
      <x:c r="C5" t="str">
        <x:v>NPN</x:v>
      </x:c>
      <x:c r="D5" t="n">
        <x:v>10</x:v>
      </x:c>
      <x:c r="E5" t="str">
        <x:v>TO-92</x:v>
      </x:c>
      <x:c r="F5" t="str">
        <x:v>Señal general</x:v>
      </x:c>
    </x:row>
    <x:row r="6">
      <x:c r="A6" t="str">
        <x:v>Transistores</x:v>
      </x:c>
      <x:c r="B6" t="str">
        <x:v>S9014</x:v>
      </x:c>
      <x:c r="C6" t="str">
        <x:v>NPN</x:v>
      </x:c>
      <x:c r="D6" t="n">
        <x:v>10</x:v>
      </x:c>
      <x:c r="E6" t="str">
        <x:v>TO-92</x:v>
      </x:c>
      <x:c r="F6" t="str">
        <x:v>Señal general</x:v>
      </x:c>
    </x:row>
    <x:row r="7">
      <x:c r="A7" t="str">
        <x:v>Transistores</x:v>
      </x:c>
      <x:c r="B7" t="str">
        <x:v>S9015</x:v>
      </x:c>
      <x:c r="C7" t="str">
        <x:v>PNP</x:v>
      </x:c>
      <x:c r="D7" t="n">
        <x:v>10</x:v>
      </x:c>
      <x:c r="E7" t="str">
        <x:v>TO-92</x:v>
      </x:c>
      <x:c r="F7" t="str">
        <x:v>Señal general</x:v>
      </x:c>
    </x:row>
    <x:row r="8">
      <x:c r="A8" t="str">
        <x:v>Transistores</x:v>
      </x:c>
      <x:c r="B8" t="str">
        <x:v>S9018</x:v>
      </x:c>
      <x:c r="C8" t="str">
        <x:v>NPN</x:v>
      </x:c>
      <x:c r="D8" t="n">
        <x:v>10</x:v>
      </x:c>
      <x:c r="E8" t="str">
        <x:v>TO-92</x:v>
      </x:c>
      <x:c r="F8" t="str">
        <x:v>RF / señal</x:v>
      </x:c>
    </x:row>
    <x:row r="9">
      <x:c r="A9" t="str">
        <x:v>Transistores</x:v>
      </x:c>
      <x:c r="B9" t="str">
        <x:v>C1845</x:v>
      </x:c>
      <x:c r="C9" t="str">
        <x:v>NPN</x:v>
      </x:c>
      <x:c r="D9" t="n">
        <x:v>10</x:v>
      </x:c>
      <x:c r="E9" t="str">
        <x:v>TO-92</x:v>
      </x:c>
      <x:c r="F9" t="str">
        <x:v>Audio bajo ruido</x:v>
      </x:c>
    </x:row>
    <x:row r="10">
      <x:c r="A10" t="str">
        <x:v>Transistores</x:v>
      </x:c>
      <x:c r="B10" t="str">
        <x:v>2N5401</x:v>
      </x:c>
      <x:c r="C10" t="str">
        <x:v>PNP</x:v>
      </x:c>
      <x:c r="D10" t="n">
        <x:v>10</x:v>
      </x:c>
      <x:c r="E10" t="str">
        <x:v>TO-92</x:v>
      </x:c>
      <x:c r="F10" t="str">
        <x:v>Alto voltaje pequeño</x:v>
      </x:c>
    </x:row>
    <x:row r="11">
      <x:c r="A11" t="str">
        <x:v>Transistores</x:v>
      </x:c>
      <x:c r="B11" t="str">
        <x:v>2N5551</x:v>
      </x:c>
      <x:c r="C11" t="str">
        <x:v>NPN</x:v>
      </x:c>
      <x:c r="D11" t="n">
        <x:v>10</x:v>
      </x:c>
      <x:c r="E11" t="str">
        <x:v>TO-92</x:v>
      </x:c>
      <x:c r="F11" t="str">
        <x:v>Alto voltaje pequeño</x:v>
      </x:c>
    </x:row>
    <x:row r="12">
      <x:c r="A12" t="str">
        <x:v>Transistores</x:v>
      </x:c>
      <x:c r="B12" t="str">
        <x:v>2N3904</x:v>
      </x:c>
      <x:c r="C12" t="str">
        <x:v>NPN</x:v>
      </x:c>
      <x:c r="D12" t="n">
        <x:v>10</x:v>
      </x:c>
      <x:c r="E12" t="str">
        <x:v>TO-92</x:v>
      </x:c>
      <x:c r="F12" t="str">
        <x:v>Uso general</x:v>
      </x:c>
    </x:row>
    <x:row r="13">
      <x:c r="A13" t="str">
        <x:v>Transistores</x:v>
      </x:c>
      <x:c r="B13" t="str">
        <x:v>2N3906</x:v>
      </x:c>
      <x:c r="C13" t="str">
        <x:v>PNP</x:v>
      </x:c>
      <x:c r="D13" t="n">
        <x:v>10</x:v>
      </x:c>
      <x:c r="E13" t="str">
        <x:v>TO-92</x:v>
      </x:c>
      <x:c r="F13" t="str">
        <x:v>Uso general</x:v>
      </x:c>
    </x:row>
    <x:row r="14">
      <x:c r="A14" t="str">
        <x:v>Transistores</x:v>
      </x:c>
      <x:c r="B14" t="str">
        <x:v>A1015</x:v>
      </x:c>
      <x:c r="C14" t="str">
        <x:v>PNP</x:v>
      </x:c>
      <x:c r="D14" t="n">
        <x:v>10</x:v>
      </x:c>
      <x:c r="E14" t="str">
        <x:v>TO-92</x:v>
      </x:c>
      <x:c r="F14" t="str">
        <x:v>Audio complemento</x:v>
      </x:c>
    </x:row>
    <x:row r="15">
      <x:c r="A15" t="str">
        <x:v>Transistores</x:v>
      </x:c>
      <x:c r="B15" t="str">
        <x:v>A42</x:v>
      </x:c>
      <x:c r="C15" t="str">
        <x:v>NPN</x:v>
      </x:c>
      <x:c r="D15" t="n">
        <x:v>10</x:v>
      </x:c>
      <x:c r="E15" t="str">
        <x:v>TO-92</x:v>
      </x:c>
      <x:c r="F15" t="str">
        <x:v>Alto voltaje pequeño</x:v>
      </x:c>
    </x:row>
    <x:row r="16">
      <x:c r="A16" t="str">
        <x:v>Transistores</x:v>
      </x:c>
      <x:c r="B16" t="str">
        <x:v>A92</x:v>
      </x:c>
      <x:c r="C16" t="str">
        <x:v>PNP</x:v>
      </x:c>
      <x:c r="D16" t="n">
        <x:v>10</x:v>
      </x:c>
      <x:c r="E16" t="str">
        <x:v>TO-92</x:v>
      </x:c>
      <x:c r="F16" t="str">
        <x:v>Alto voltaje pequeño</x:v>
      </x:c>
    </x:row>
    <x:row r="17">
      <x:c r="A17" t="str">
        <x:v>Transistores</x:v>
      </x:c>
      <x:c r="B17" t="str">
        <x:v>A733</x:v>
      </x:c>
      <x:c r="C17" t="str">
        <x:v>PNP</x:v>
      </x:c>
      <x:c r="D17" t="n">
        <x:v>10</x:v>
      </x:c>
      <x:c r="E17" t="str">
        <x:v>TO-92</x:v>
      </x:c>
      <x:c r="F17" t="str">
        <x:v>Audio/señal</x:v>
      </x:c>
    </x:row>
    <x:row r="18">
      <x:c r="A18" t="str">
        <x:v>Transistores</x:v>
      </x:c>
      <x:c r="B18" t="str">
        <x:v>C945</x:v>
      </x:c>
      <x:c r="C18" t="str">
        <x:v>NPN</x:v>
      </x:c>
      <x:c r="D18" t="n">
        <x:v>10</x:v>
      </x:c>
      <x:c r="E18" t="str">
        <x:v>TO-92</x:v>
      </x:c>
      <x:c r="F18" t="str">
        <x:v>Audio/señal</x:v>
      </x:c>
    </x:row>
  </x:sheetData>
  <x:pageMargins left="0.7" right="0.7" top="0.75" bottom="0.75" header="0.3" footer="0.3"/>
  <x:tableParts count="1">
    <x:tablePart xmlns:r="http://schemas.openxmlformats.org/officeDocument/2006/relationships" r:id="R81fe8e524f964f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9.020000457763672" hidden="0" customWidth="1"/>
    <x:col min="3" max="3" width="17.6299991607666" hidden="0" customWidth="1"/>
    <x:col min="4" max="4" width="9.960000038146973" hidden="0" customWidth="1"/>
    <x:col min="5" max="5" width="9.420000076293945" hidden="0" customWidth="1"/>
    <x:col min="6" max="6" width="19.920000076293945" hidden="0" customWidth="1"/>
  </x:cols>
  <x:sheetData>
    <x:row r="1">
      <x:c r="A1" s="10" t="str">
        <x:v>Categoría</x:v>
      </x:c>
      <x:c r="B1" s="10" t="str">
        <x:v>Modelo</x:v>
      </x:c>
      <x:c r="C1" s="10" t="str">
        <x:v>Descripción</x:v>
      </x:c>
      <x:c r="D1" s="10" t="str">
        <x:v>Cantidad</x:v>
      </x:c>
      <x:c r="E1" s="10" t="str">
        <x:v>Paquete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ICs</x:v>
      </x:c>
      <x:c r="B2" t="str">
        <x:v>LM358</x:v>
      </x:c>
      <x:c r="C2" t="str">
        <x:v>DIP-8 Dual OpAmp</x:v>
      </x:c>
      <x:c r="D2" t="n">
        <x:v>2</x:v>
      </x:c>
      <x:c r="E2" t="str">
        <x:v>DIP-8</x:v>
      </x:c>
      <x:c r="F2" t="str">
        <x:v>VU meter / sensores</x:v>
      </x:c>
    </x:row>
    <x:row r="3">
      <x:c r="A3" t="str">
        <x:v>ICs</x:v>
      </x:c>
      <x:c r="B3" t="str">
        <x:v>NE555</x:v>
      </x:c>
      <x:c r="C3" t="str">
        <x:v>DIP-8 Timer/Oscillator</x:v>
      </x:c>
      <x:c r="D3" t="n">
        <x:v>2</x:v>
      </x:c>
      <x:c r="E3" t="str">
        <x:v>DIP-8</x:v>
      </x:c>
      <x:c r="F3" t="str">
        <x:v>Temporizador / oscilador</x:v>
      </x:c>
    </x:row>
    <x:row r="4">
      <x:c r="A4" t="str">
        <x:v>ICs</x:v>
      </x:c>
      <x:c r="B4" t="str">
        <x:v>JRC4558</x:v>
      </x:c>
      <x:c r="C4" t="str">
        <x:v>DIP-8 Dual OpAmp</x:v>
      </x:c>
      <x:c r="D4" t="n">
        <x:v>2</x:v>
      </x:c>
      <x:c r="E4" t="str">
        <x:v>DIP-8</x:v>
      </x:c>
      <x:c r="F4" t="str">
        <x:v>Audio preamp / filtros</x:v>
      </x:c>
    </x:row>
  </x:sheetData>
  <x:pageMargins left="0.7" right="0.7" top="0.75" bottom="0.75" header="0.3" footer="0.3"/>
  <x:tableParts count="1">
    <x:tablePart xmlns:r="http://schemas.openxmlformats.org/officeDocument/2006/relationships" r:id="R4c5b186a67644d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9.149999618530273" hidden="0" customWidth="1"/>
    <x:col min="3" max="3" width="7" hidden="0" customWidth="1"/>
    <x:col min="4" max="4" width="9.960000038146973" hidden="0" customWidth="1"/>
    <x:col min="5" max="5" width="7.809999942779541" hidden="0" customWidth="1"/>
    <x:col min="6" max="6" width="12.380000114440918" hidden="0" customWidth="1"/>
  </x:cols>
  <x:sheetData>
    <x:row r="1">
      <x:c r="A1" s="10" t="str">
        <x:v>Categoría</x:v>
      </x:c>
      <x:c r="B1" s="10" t="str">
        <x:v>Tamaño</x:v>
      </x:c>
      <x:c r="C1" s="10" t="str">
        <x:v>Color</x:v>
      </x:c>
      <x:c r="D1" s="10" t="str">
        <x:v>Cantidad</x:v>
      </x:c>
      <x:c r="E1" s="10" t="str">
        <x:v>Tipo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LED</x:v>
      </x:c>
      <x:c r="B2" t="str">
        <x:v>5mm</x:v>
      </x:c>
      <x:c r="C2" t="str">
        <x:v>Rojo</x:v>
      </x:c>
      <x:c r="D2" t="n">
        <x:v>20</x:v>
      </x:c>
      <x:c r="E2" t="str">
        <x:v>LED radial</x:v>
      </x:c>
      <x:c r="F2" t="str">
        <x:v>Indicadores/VU</x:v>
      </x:c>
    </x:row>
    <x:row r="3">
      <x:c r="A3" t="str">
        <x:v>LED</x:v>
      </x:c>
      <x:c r="B3" t="str">
        <x:v>5mm</x:v>
      </x:c>
      <x:c r="C3" t="str">
        <x:v>Verde</x:v>
      </x:c>
      <x:c r="D3" t="n">
        <x:v>20</x:v>
      </x:c>
      <x:c r="E3" t="str">
        <x:v>LED radial</x:v>
      </x:c>
      <x:c r="F3" t="str">
        <x:v>Indicadores/VU</x:v>
      </x:c>
    </x:row>
    <x:row r="4">
      <x:c r="A4" t="str">
        <x:v>LED</x:v>
      </x:c>
      <x:c r="B4" t="str">
        <x:v>5mm</x:v>
      </x:c>
      <x:c r="C4" t="str">
        <x:v>Azul</x:v>
      </x:c>
      <x:c r="D4" t="n">
        <x:v>20</x:v>
      </x:c>
      <x:c r="E4" t="str">
        <x:v>LED radial</x:v>
      </x:c>
      <x:c r="F4" t="str">
        <x:v>Indicadores/VU</x:v>
      </x:c>
    </x:row>
    <x:row r="5">
      <x:c r="A5" t="str">
        <x:v>LED</x:v>
      </x:c>
      <x:c r="B5" t="str">
        <x:v>5mm</x:v>
      </x:c>
      <x:c r="C5" t="str">
        <x:v>Amarillo</x:v>
      </x:c>
      <x:c r="D5" t="n">
        <x:v>20</x:v>
      </x:c>
      <x:c r="E5" t="str">
        <x:v>LED radial</x:v>
      </x:c>
      <x:c r="F5" t="str">
        <x:v>Indicadores/VU</x:v>
      </x:c>
    </x:row>
    <x:row r="6">
      <x:c r="A6" t="str">
        <x:v>LED</x:v>
      </x:c>
      <x:c r="B6" t="str">
        <x:v>5mm</x:v>
      </x:c>
      <x:c r="C6" t="str">
        <x:v>Blanco</x:v>
      </x:c>
      <x:c r="D6" t="n">
        <x:v>20</x:v>
      </x:c>
      <x:c r="E6" t="str">
        <x:v>LED radial</x:v>
      </x:c>
      <x:c r="F6" t="str">
        <x:v>Indicadores/VU</x:v>
      </x:c>
    </x:row>
    <x:row r="7">
      <x:c r="A7" t="str">
        <x:v>LED</x:v>
      </x:c>
      <x:c r="B7" t="str">
        <x:v>3mm</x:v>
      </x:c>
      <x:c r="C7" t="str">
        <x:v>Rojo</x:v>
      </x:c>
      <x:c r="D7" t="n">
        <x:v>20</x:v>
      </x:c>
      <x:c r="E7" t="str">
        <x:v>LED radial</x:v>
      </x:c>
      <x:c r="F7" t="str">
        <x:v>Indicadores/VU</x:v>
      </x:c>
    </x:row>
    <x:row r="8">
      <x:c r="A8" t="str">
        <x:v>LED</x:v>
      </x:c>
      <x:c r="B8" t="str">
        <x:v>3mm</x:v>
      </x:c>
      <x:c r="C8" t="str">
        <x:v>Verde</x:v>
      </x:c>
      <x:c r="D8" t="n">
        <x:v>20</x:v>
      </x:c>
      <x:c r="E8" t="str">
        <x:v>LED radial</x:v>
      </x:c>
      <x:c r="F8" t="str">
        <x:v>Indicadores/VU</x:v>
      </x:c>
    </x:row>
    <x:row r="9">
      <x:c r="A9" t="str">
        <x:v>LED</x:v>
      </x:c>
      <x:c r="B9" t="str">
        <x:v>3mm</x:v>
      </x:c>
      <x:c r="C9" t="str">
        <x:v>Azul</x:v>
      </x:c>
      <x:c r="D9" t="n">
        <x:v>20</x:v>
      </x:c>
      <x:c r="E9" t="str">
        <x:v>LED radial</x:v>
      </x:c>
      <x:c r="F9" t="str">
        <x:v>Indicadores/VU</x:v>
      </x:c>
    </x:row>
    <x:row r="10">
      <x:c r="A10" t="str">
        <x:v>LED</x:v>
      </x:c>
      <x:c r="B10" t="str">
        <x:v>3mm</x:v>
      </x:c>
      <x:c r="C10" t="str">
        <x:v>Amarillo</x:v>
      </x:c>
      <x:c r="D10" t="n">
        <x:v>20</x:v>
      </x:c>
      <x:c r="E10" t="str">
        <x:v>LED radial</x:v>
      </x:c>
      <x:c r="F10" t="str">
        <x:v>Indicadores/VU</x:v>
      </x:c>
    </x:row>
    <x:row r="11">
      <x:c r="A11" t="str">
        <x:v>LED</x:v>
      </x:c>
      <x:c r="B11" t="str">
        <x:v>3mm</x:v>
      </x:c>
      <x:c r="C11" t="str">
        <x:v>Blanco</x:v>
      </x:c>
      <x:c r="D11" t="n">
        <x:v>20</x:v>
      </x:c>
      <x:c r="E11" t="str">
        <x:v>LED radial</x:v>
      </x:c>
      <x:c r="F11" t="str">
        <x:v>Indicadores/VU</x:v>
      </x:c>
    </x:row>
  </x:sheetData>
  <x:pageMargins left="0.7" right="0.7" top="0.75" bottom="0.75" header="0.3" footer="0.3"/>
  <x:tableParts count="1">
    <x:tablePart xmlns:r="http://schemas.openxmlformats.org/officeDocument/2006/relationships" r:id="Rea334736e6ef4a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9.020000457763672" hidden="0" customWidth="1"/>
    <x:col min="3" max="3" width="9.420000076293945" hidden="0" customWidth="1"/>
    <x:col min="4" max="4" width="9.960000038146973" hidden="0" customWidth="1"/>
    <x:col min="5" max="5" width="9.420000076293945" hidden="0" customWidth="1"/>
    <x:col min="6" max="6" width="18.440000534057617" hidden="0" customWidth="1"/>
  </x:cols>
  <x:sheetData>
    <x:row r="1">
      <x:c r="A1" s="10" t="str">
        <x:v>Categoría</x:v>
      </x:c>
      <x:c r="B1" s="10" t="str">
        <x:v>Modelo</x:v>
      </x:c>
      <x:c r="C1" s="10" t="str">
        <x:v>Tipo</x:v>
      </x:c>
      <x:c r="D1" s="10" t="str">
        <x:v>Cantidad</x:v>
      </x:c>
      <x:c r="E1" s="10" t="str">
        <x:v>Paquete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Diodos</x:v>
      </x:c>
      <x:c r="B2" t="str">
        <x:v>1N4148</x:v>
      </x:c>
      <x:c r="C2" t="str">
        <x:v>Switching</x:v>
      </x:c>
      <x:c r="D2" t="n">
        <x:v>25</x:v>
      </x:c>
      <x:c r="E2" t="str">
        <x:v>DO-35</x:v>
      </x:c>
      <x:c r="F2" t="str">
        <x:v>Lógica/protección</x:v>
      </x:c>
    </x:row>
    <x:row r="3">
      <x:c r="A3" t="str">
        <x:v>Diodos</x:v>
      </x:c>
      <x:c r="B3" t="str">
        <x:v>1N5399</x:v>
      </x:c>
      <x:c r="C3" t="str">
        <x:v>Rectifier</x:v>
      </x:c>
      <x:c r="D3" t="n">
        <x:v>25</x:v>
      </x:c>
      <x:c r="E3" t="str">
        <x:v>DO-15</x:v>
      </x:c>
      <x:c r="F3" t="str">
        <x:v>Rectificador</x:v>
      </x:c>
    </x:row>
    <x:row r="4">
      <x:c r="A4" t="str">
        <x:v>Diodos</x:v>
      </x:c>
      <x:c r="B4" t="str">
        <x:v>1N5819</x:v>
      </x:c>
      <x:c r="C4" t="str">
        <x:v>Schottky</x:v>
      </x:c>
      <x:c r="D4" t="n">
        <x:v>10</x:v>
      </x:c>
      <x:c r="E4" t="str">
        <x:v>DO-41</x:v>
      </x:c>
      <x:c r="F4" t="str">
        <x:v>Baja caída</x:v>
      </x:c>
    </x:row>
    <x:row r="5">
      <x:c r="A5" t="str">
        <x:v>Diodos</x:v>
      </x:c>
      <x:c r="B5" t="str">
        <x:v>FR107</x:v>
      </x:c>
      <x:c r="C5" t="str">
        <x:v>Rectifier</x:v>
      </x:c>
      <x:c r="D5" t="n">
        <x:v>10</x:v>
      </x:c>
      <x:c r="E5" t="str">
        <x:v>DO-41</x:v>
      </x:c>
      <x:c r="F5" t="str">
        <x:v>Rectificador rápido</x:v>
      </x:c>
    </x:row>
    <x:row r="6">
      <x:c r="A6" t="str">
        <x:v>Diodos</x:v>
      </x:c>
      <x:c r="B6" t="str">
        <x:v>FR207</x:v>
      </x:c>
      <x:c r="C6" t="str">
        <x:v>Rectifier</x:v>
      </x:c>
      <x:c r="D6" t="n">
        <x:v>10</x:v>
      </x:c>
      <x:c r="E6" t="str">
        <x:v>DO-15</x:v>
      </x:c>
      <x:c r="F6" t="str">
        <x:v>Rectificador rápido</x:v>
      </x:c>
    </x:row>
    <x:row r="7">
      <x:c r="A7" t="str">
        <x:v>Diodos</x:v>
      </x:c>
      <x:c r="B7" t="str">
        <x:v>1N5408</x:v>
      </x:c>
      <x:c r="C7" t="str">
        <x:v>Rectifier</x:v>
      </x:c>
      <x:c r="D7" t="n">
        <x:v>10</x:v>
      </x:c>
      <x:c r="E7" t="str">
        <x:v>DO-201</x:v>
      </x:c>
      <x:c r="F7" t="str">
        <x:v>Rectificador 3A</x:v>
      </x:c>
    </x:row>
    <x:row r="8">
      <x:c r="A8" t="str">
        <x:v>Diodos</x:v>
      </x:c>
      <x:c r="B8" t="str">
        <x:v>1N4007</x:v>
      </x:c>
      <x:c r="C8" t="str">
        <x:v>Rectifier</x:v>
      </x:c>
      <x:c r="D8" t="n">
        <x:v>5</x:v>
      </x:c>
      <x:c r="E8" t="str">
        <x:v>DO-41</x:v>
      </x:c>
      <x:c r="F8" t="str">
        <x:v>Rectificador</x:v>
      </x:c>
    </x:row>
    <x:row r="9">
      <x:c r="A9" t="str">
        <x:v>Diodos</x:v>
      </x:c>
      <x:c r="B9" t="str">
        <x:v>1N5822</x:v>
      </x:c>
      <x:c r="C9" t="str">
        <x:v>Schottky</x:v>
      </x:c>
      <x:c r="D9" t="n">
        <x:v>5</x:v>
      </x:c>
      <x:c r="E9" t="str">
        <x:v>DO-201</x:v>
      </x:c>
      <x:c r="F9" t="str">
        <x:v>Baja caída</x:v>
      </x:c>
    </x:row>
    <x:row r="10">
      <x:c r="A10" t="str">
        <x:v>Diodos</x:v>
      </x:c>
      <x:c r="B10" t="str">
        <x:v>1N270</x:v>
      </x:c>
      <x:c r="C10" t="str">
        <x:v>Germanium</x:v>
      </x:c>
      <x:c r="D10" t="n">
        <x:v>2</x:v>
      </x:c>
      <x:c r="E10" t="str">
        <x:v>DO-7</x:v>
      </x:c>
      <x:c r="F10" t="str">
        <x:v>Detector/audio vintage</x:v>
      </x:c>
    </x:row>
  </x:sheetData>
  <x:pageMargins left="0.7" right="0.7" top="0.75" bottom="0.75" header="0.3" footer="0.3"/>
  <x:tableParts count="1">
    <x:tablePart xmlns:r="http://schemas.openxmlformats.org/officeDocument/2006/relationships" r:id="R1ec9c927dfb64d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5.479999542236328" hidden="0" customWidth="1"/>
    <x:col min="3" max="3" width="15.210000038146973" hidden="0" customWidth="1"/>
    <x:col min="4" max="4" width="9.960000038146973" hidden="0" customWidth="1"/>
    <x:col min="5" max="5" width="16.149999618530273" hidden="0" customWidth="1"/>
    <x:col min="6" max="6" width="13.859999656677246" hidden="0" customWidth="1"/>
  </x:cols>
  <x:sheetData>
    <x:row r="1">
      <x:c r="A1" s="10" t="str">
        <x:v>Categoría</x:v>
      </x:c>
      <x:c r="B1" s="10" t="str">
        <x:v>Componente</x:v>
      </x:c>
      <x:c r="C1" s="10" t="str">
        <x:v>Especificación</x:v>
      </x:c>
      <x:c r="D1" s="10" t="str">
        <x:v>Cantidad</x:v>
      </x:c>
      <x:c r="E1" s="10" t="str">
        <x:v>Tipo</x:v>
      </x:c>
      <x:c r="F1" s="10" t="str">
        <x:v>Uso</x:v>
      </x:c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Componentes</x:v>
      </x:c>
      <x:c r="B2" t="str">
        <x:v>Mini Audio Speaker</x:v>
      </x:c>
      <x:c r="C2" t="str">
        <x:v>0.25W 8Ω 30mm</x:v>
      </x:c>
      <x:c r="D2" t="n">
        <x:v>1</x:v>
      </x:c>
      <x:c r="E2" t="str">
        <x:v>Bocina</x:v>
      </x:c>
      <x:c r="F2" t="str">
        <x:v>Pruebas de audio</x:v>
      </x:c>
    </x:row>
    <x:row r="3">
      <x:c r="A3" t="str">
        <x:v>Componentes</x:v>
      </x:c>
      <x:c r="B3" t="str">
        <x:v>DC jack</x:v>
      </x:c>
      <x:c r="C3" t="str">
        <x:v>5.5x2.1mm for PCB</x:v>
      </x:c>
      <x:c r="D3" t="n">
        <x:v>3</x:v>
      </x:c>
      <x:c r="E3" t="str">
        <x:v>Conector</x:v>
      </x:c>
      <x:c r="F3" t="str">
        <x:v>Alimentación</x:v>
      </x:c>
    </x:row>
    <x:row r="4">
      <x:c r="A4" t="str">
        <x:v>Componentes</x:v>
      </x:c>
      <x:c r="B4" t="str">
        <x:v>DC jacks</x:v>
      </x:c>
      <x:c r="C4" t="str">
        <x:v>5.5x2.1mm</x:v>
      </x:c>
      <x:c r="D4" t="n">
        <x:v>3</x:v>
      </x:c>
      <x:c r="E4" t="str">
        <x:v>Conector</x:v>
      </x:c>
      <x:c r="F4" t="str">
        <x:v>Alimentación</x:v>
      </x:c>
    </x:row>
    <x:row r="5">
      <x:c r="A5" t="str">
        <x:v>Componentes</x:v>
      </x:c>
      <x:c r="B5" t="str">
        <x:v>DC jacks</x:v>
      </x:c>
      <x:c r="C5" t="str">
        <x:v>5.5x2.1mm</x:v>
      </x:c>
      <x:c r="D5" t="n">
        <x:v>3</x:v>
      </x:c>
      <x:c r="E5" t="str">
        <x:v>Conector</x:v>
      </x:c>
      <x:c r="F5" t="str">
        <x:v>Alimentación</x:v>
      </x:c>
    </x:row>
    <x:row r="6">
      <x:c r="A6" t="str">
        <x:v>PCB</x:v>
      </x:c>
      <x:c r="B6" t="str">
        <x:v>PCB perforada</x:v>
      </x:c>
      <x:c r="C6" t="str">
        <x:v>7x9cm</x:v>
      </x:c>
      <x:c r="D6" t="n">
        <x:v>1</x:v>
      </x:c>
      <x:c r="E6" t="str">
        <x:v>Protoboard soldable</x:v>
      </x:c>
      <x:c r="F6" t="str">
        <x:v>Prototipos</x:v>
      </x:c>
    </x:row>
    <x:row r="7">
      <x:c r="A7" t="str">
        <x:v>PCB</x:v>
      </x:c>
      <x:c r="B7" t="str">
        <x:v>PCB perforada</x:v>
      </x:c>
      <x:c r="C7" t="str">
        <x:v>5x7cm</x:v>
      </x:c>
      <x:c r="D7" t="n">
        <x:v>1</x:v>
      </x:c>
      <x:c r="E7" t="str">
        <x:v>Protoboard soldable</x:v>
      </x:c>
      <x:c r="F7" t="str">
        <x:v>Prototipos</x:v>
      </x:c>
    </x:row>
    <x:row r="8">
      <x:c r="A8" t="str">
        <x:v>PCB</x:v>
      </x:c>
      <x:c r="B8" t="str">
        <x:v>PCB perforada</x:v>
      </x:c>
      <x:c r="C8" t="str">
        <x:v>2x8cm</x:v>
      </x:c>
      <x:c r="D8" t="n">
        <x:v>1</x:v>
      </x:c>
      <x:c r="E8" t="str">
        <x:v>Protoboard soldable</x:v>
      </x:c>
      <x:c r="F8" t="str">
        <x:v>Prototipos</x:v>
      </x:c>
    </x:row>
    <x:row r="9">
      <x:c r="A9" t="str">
        <x:v>PCB</x:v>
      </x:c>
      <x:c r="B9" t="str">
        <x:v>PCB perforada</x:v>
      </x:c>
      <x:c r="C9" t="str">
        <x:v>4x6cm</x:v>
      </x:c>
      <x:c r="D9" t="n">
        <x:v>1</x:v>
      </x:c>
      <x:c r="E9" t="str">
        <x:v>Protoboard soldable</x:v>
      </x:c>
      <x:c r="F9" t="str">
        <x:v>Prototipos</x:v>
      </x:c>
    </x:row>
    <x:row r="10">
      <x:c r="A10" t="str">
        <x:v>Trimpots</x:v>
      </x:c>
      <x:c r="B10" t="str">
        <x:v>100Ω</x:v>
      </x:c>
      <x:c r="C10" t="str">
        <x:v>RM065</x:v>
      </x:c>
      <x:c r="D10" t="n">
        <x:v>1</x:v>
      </x:c>
      <x:c r="E10" t="str">
        <x:v>Variable</x:v>
      </x:c>
      <x:c r="F10" t="str">
        <x:v>Ajuste fino</x:v>
      </x:c>
    </x:row>
    <x:row r="11">
      <x:c r="A11" t="str">
        <x:v>Trimpots</x:v>
      </x:c>
      <x:c r="B11" t="str">
        <x:v>500Ω</x:v>
      </x:c>
      <x:c r="C11" t="str">
        <x:v>RM065</x:v>
      </x:c>
      <x:c r="D11" t="n">
        <x:v>1</x:v>
      </x:c>
      <x:c r="E11" t="str">
        <x:v>Variable</x:v>
      </x:c>
      <x:c r="F11" t="str">
        <x:v>Ajuste fino</x:v>
      </x:c>
    </x:row>
    <x:row r="12">
      <x:c r="A12" t="str">
        <x:v>Trimpots</x:v>
      </x:c>
      <x:c r="B12" t="str">
        <x:v>1K</x:v>
      </x:c>
      <x:c r="C12" t="str">
        <x:v>RM065</x:v>
      </x:c>
      <x:c r="D12" t="n">
        <x:v>1</x:v>
      </x:c>
      <x:c r="E12" t="str">
        <x:v>Variable</x:v>
      </x:c>
      <x:c r="F12" t="str">
        <x:v>Ajuste fino</x:v>
      </x:c>
    </x:row>
    <x:row r="13">
      <x:c r="A13" t="str">
        <x:v>Trimpots</x:v>
      </x:c>
      <x:c r="B13" t="str">
        <x:v>2K</x:v>
      </x:c>
      <x:c r="C13" t="str">
        <x:v>RM065</x:v>
      </x:c>
      <x:c r="D13" t="n">
        <x:v>1</x:v>
      </x:c>
      <x:c r="E13" t="str">
        <x:v>Variable</x:v>
      </x:c>
      <x:c r="F13" t="str">
        <x:v>Ajuste fino</x:v>
      </x:c>
    </x:row>
    <x:row r="14">
      <x:c r="A14" t="str">
        <x:v>Trimpots</x:v>
      </x:c>
      <x:c r="B14" t="str">
        <x:v>5K</x:v>
      </x:c>
      <x:c r="C14" t="str">
        <x:v>RM065</x:v>
      </x:c>
      <x:c r="D14" t="n">
        <x:v>1</x:v>
      </x:c>
      <x:c r="E14" t="str">
        <x:v>Variable</x:v>
      </x:c>
      <x:c r="F14" t="str">
        <x:v>Ajuste fino</x:v>
      </x:c>
    </x:row>
    <x:row r="15">
      <x:c r="A15" t="str">
        <x:v>Trimpots</x:v>
      </x:c>
      <x:c r="B15" t="str">
        <x:v>10K</x:v>
      </x:c>
      <x:c r="C15" t="str">
        <x:v>RM065</x:v>
      </x:c>
      <x:c r="D15" t="n">
        <x:v>1</x:v>
      </x:c>
      <x:c r="E15" t="str">
        <x:v>Variable</x:v>
      </x:c>
      <x:c r="F15" t="str">
        <x:v>Ajuste fino</x:v>
      </x:c>
    </x:row>
    <x:row r="16">
      <x:c r="A16" t="str">
        <x:v>Trimpots</x:v>
      </x:c>
      <x:c r="B16" t="str">
        <x:v>20K</x:v>
      </x:c>
      <x:c r="C16" t="str">
        <x:v>RM065</x:v>
      </x:c>
      <x:c r="D16" t="n">
        <x:v>1</x:v>
      </x:c>
      <x:c r="E16" t="str">
        <x:v>Variable</x:v>
      </x:c>
      <x:c r="F16" t="str">
        <x:v>Ajuste fino</x:v>
      </x:c>
    </x:row>
    <x:row r="17">
      <x:c r="A17" t="str">
        <x:v>Trimpots</x:v>
      </x:c>
      <x:c r="B17" t="str">
        <x:v>50K</x:v>
      </x:c>
      <x:c r="C17" t="str">
        <x:v>RM065</x:v>
      </x:c>
      <x:c r="D17" t="n">
        <x:v>1</x:v>
      </x:c>
      <x:c r="E17" t="str">
        <x:v>Variable</x:v>
      </x:c>
      <x:c r="F17" t="str">
        <x:v>Ajuste fino</x:v>
      </x:c>
    </x:row>
    <x:row r="18">
      <x:c r="A18" t="str">
        <x:v>Trimpots</x:v>
      </x:c>
      <x:c r="B18" t="str">
        <x:v>100K</x:v>
      </x:c>
      <x:c r="C18" t="str">
        <x:v>RM065</x:v>
      </x:c>
      <x:c r="D18" t="n">
        <x:v>1</x:v>
      </x:c>
      <x:c r="E18" t="str">
        <x:v>Variable</x:v>
      </x:c>
      <x:c r="F18" t="str">
        <x:v>Ajuste fino</x:v>
      </x:c>
    </x:row>
    <x:row r="19">
      <x:c r="A19" t="str">
        <x:v>Trimpots</x:v>
      </x:c>
      <x:c r="B19" t="str">
        <x:v>200K</x:v>
      </x:c>
      <x:c r="C19" t="str">
        <x:v>RM065</x:v>
      </x:c>
      <x:c r="D19" t="n">
        <x:v>1</x:v>
      </x:c>
      <x:c r="E19" t="str">
        <x:v>Variable</x:v>
      </x:c>
      <x:c r="F19" t="str">
        <x:v>Ajuste fino</x:v>
      </x:c>
    </x:row>
    <x:row r="20">
      <x:c r="A20" t="str">
        <x:v>Trimpots</x:v>
      </x:c>
      <x:c r="B20" t="str">
        <x:v>500K</x:v>
      </x:c>
      <x:c r="C20" t="str">
        <x:v>RM065</x:v>
      </x:c>
      <x:c r="D20" t="n">
        <x:v>1</x:v>
      </x:c>
      <x:c r="E20" t="str">
        <x:v>Variable</x:v>
      </x:c>
      <x:c r="F20" t="str">
        <x:v>Ajuste fino</x:v>
      </x:c>
    </x:row>
    <x:row r="21">
      <x:c r="A21" t="str">
        <x:v>Trimpots</x:v>
      </x:c>
      <x:c r="B21" t="str">
        <x:v>1M</x:v>
      </x:c>
      <x:c r="C21" t="str">
        <x:v>RM065</x:v>
      </x:c>
      <x:c r="D21" t="n">
        <x:v>1</x:v>
      </x:c>
      <x:c r="E21" t="str">
        <x:v>Variable</x:v>
      </x:c>
      <x:c r="F21" t="str">
        <x:v>Ajuste fino</x:v>
      </x:c>
    </x:row>
  </x:sheetData>
  <x:pageMargins left="0.7" right="0.7" top="0.75" bottom="0.75" header="0.3" footer="0.3"/>
  <x:tableParts count="1">
    <x:tablePart xmlns:r="http://schemas.openxmlformats.org/officeDocument/2006/relationships" r:id="Rd4388800e2eb474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.069999694824219" hidden="0" customWidth="1"/>
    <x:col min="2" max="2" width="14.130000114440918" hidden="0" customWidth="1"/>
    <x:col min="3" max="3" width="27.049999237060547" hidden="0" customWidth="1"/>
    <x:col min="4" max="4" width="18.84000015258789" hidden="0" customWidth="1"/>
  </x:cols>
  <x:sheetData>
    <x:row r="1">
      <x:c r="A1" s="10" t="str">
        <x:v>Proyecto</x:v>
      </x:c>
      <x:c r="B1" s="10" t="str">
        <x:v>Componente</x:v>
      </x:c>
      <x:c r="C1" s="10" t="str">
        <x:v>Uso recomendado</x:v>
      </x:c>
      <x:c r="D1" s="10" t="str">
        <x:v>Cantidad disponible</x:v>
      </x:c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Preamps audio</x:v>
      </x:c>
      <x:c r="B2" t="str">
        <x:v>JRC4558</x:v>
      </x:c>
      <x:c r="C2" t="str">
        <x:v>OpAmp clásico para preamp/filtro</x:v>
      </x:c>
      <x:c r="D2" t="n">
        <x:v>2</x:v>
      </x:c>
    </x:row>
    <x:row r="3">
      <x:c r="A3" t="str">
        <x:v>Preamps audio</x:v>
      </x:c>
      <x:c r="B3" t="str">
        <x:v>C1845</x:v>
      </x:c>
      <x:c r="C3" t="str">
        <x:v>Transistor NPN audio bajo ruido</x:v>
      </x:c>
      <x:c r="D3" t="n">
        <x:v>10</x:v>
      </x:c>
    </x:row>
    <x:row r="4">
      <x:c r="A4" t="str">
        <x:v>Preamps audio</x:v>
      </x:c>
      <x:c r="B4" t="str">
        <x:v>A1015</x:v>
      </x:c>
      <x:c r="C4" t="str">
        <x:v>PNP complemento para audio</x:v>
      </x:c>
      <x:c r="D4" t="n">
        <x:v>10</x:v>
      </x:c>
    </x:row>
    <x:row r="5">
      <x:c r="A5" t="str">
        <x:v>VU Meter</x:v>
      </x:c>
      <x:c r="B5" t="str">
        <x:v>LM358</x:v>
      </x:c>
      <x:c r="C5" t="str">
        <x:v>OpAmp para detector/señal</x:v>
      </x:c>
      <x:c r="D5" t="n">
        <x:v>2</x:v>
      </x:c>
    </x:row>
    <x:row r="6">
      <x:c r="A6" t="str">
        <x:v>VU Meter</x:v>
      </x:c>
      <x:c r="B6" t="str">
        <x:v>LED 3mm/5mm</x:v>
      </x:c>
      <x:c r="C6" t="str">
        <x:v>Indicadores</x:v>
      </x:c>
      <x:c r="D6" t="n">
        <x:v>200</x:v>
      </x:c>
    </x:row>
    <x:row r="7">
      <x:c r="A7" t="str">
        <x:v>Protección bocinas</x:v>
      </x:c>
      <x:c r="B7" t="str">
        <x:v>NE555</x:v>
      </x:c>
      <x:c r="C7" t="str">
        <x:v>Retardo de encendido</x:v>
      </x:c>
      <x:c r="D7" t="n">
        <x:v>2</x:v>
      </x:c>
    </x:row>
    <x:row r="8">
      <x:c r="A8" t="str">
        <x:v>Protección bocinas</x:v>
      </x:c>
      <x:c r="B8" t="str">
        <x:v>1N4148</x:v>
      </x:c>
      <x:c r="C8" t="str">
        <x:v>Diodo señal/protección</x:v>
      </x:c>
      <x:c r="D8" t="n">
        <x:v>25</x:v>
      </x:c>
    </x:row>
    <x:row r="9">
      <x:c r="A9" t="str">
        <x:v>Fuente simple</x:v>
      </x:c>
      <x:c r="B9" t="str">
        <x:v>1N4007 / 1N5408</x:v>
      </x:c>
      <x:c r="C9" t="str">
        <x:v>Rectificación</x:v>
      </x:c>
      <x:c r="D9" t="n">
        <x:v>15</x:v>
      </x:c>
    </x:row>
    <x:row r="10">
      <x:c r="A10" t="str">
        <x:v>Desacoplo IC</x:v>
      </x:c>
      <x:c r="B10" t="str">
        <x:v>0.1uF</x:v>
      </x:c>
      <x:c r="C10" t="str">
        <x:v>Código 104</x:v>
      </x:c>
      <x:c r="D10" t="n">
        <x:v>10</x:v>
      </x:c>
    </x:row>
    <x:row r="11">
      <x:c r="A11" t="str">
        <x:v>Arduino/ESP32</x:v>
      </x:c>
      <x:c r="B11" t="str">
        <x:v>10K</x:v>
      </x:c>
      <x:c r="C11" t="str">
        <x:v>Pull-up/pull-down</x:v>
      </x:c>
      <x:c r="D11" t="n">
        <x:v>20</x:v>
      </x:c>
    </x:row>
    <x:row r="12">
      <x:c r="A12" t="str">
        <x:v>Filtros activos</x:v>
      </x:c>
      <x:c r="B12" t="str">
        <x:v>1nF a 100nF</x:v>
      </x:c>
      <x:c r="C12" t="str">
        <x:v>Capacitores de filtro</x:v>
      </x:c>
      <x:c r="D12" t="n">
        <x:v>110</x:v>
      </x:c>
    </x:row>
    <x:row r="13">
      <x:c r="A13" t="str">
        <x:v>Divisores/ganancia</x:v>
      </x:c>
      <x:c r="B13" t="str">
        <x:v>1K a 100K</x:v>
      </x:c>
      <x:c r="C13" t="str">
        <x:v>Resistencias de audio</x:v>
      </x:c>
      <x:c r="D13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c6ff844780c8410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13.1899995803833" hidden="0" customWidth="1"/>
    <x:col min="3" max="3" width="14.130000114440918" hidden="0" customWidth="1"/>
    <x:col min="4" max="4" width="18.440000534057617" hidden="0" customWidth="1"/>
    <x:col min="5" max="5" width="11.3100004196167" hidden="0" customWidth="1"/>
    <x:col min="6" max="6" width="4.980000019073486" hidden="0" customWidth="1"/>
    <x:col min="7" max="7" width="15.609999656677246" hidden="0" customWidth="1"/>
    <x:col min="8" max="8" width="8.210000038146973" hidden="0" customWidth="1"/>
  </x:cols>
  <x:sheetData>
    <x:row r="1">
      <x:c r="A1" s="10" t="str">
        <x:v>Proyecto</x:v>
      </x:c>
      <x:c r="B1" s="10" t="str">
        <x:v>Componente</x:v>
      </x:c>
      <x:c r="C1" s="10" t="str">
        <x:v>Valor/Modelo</x:v>
      </x:c>
      <x:c r="D1" s="10" t="str">
        <x:v>Cantidad requerida</x:v>
      </x:c>
      <x:c r="E1" s="10" t="str">
        <x:v>Disponible</x:v>
      </x:c>
      <x:c r="F1" s="10" t="str">
        <x:v>OK</x:v>
      </x:c>
      <x:c r="G1" s="10" t="str">
        <x:v>Notas</x:v>
      </x:c>
      <x:c r="H1" s="10" t="str">
        <x:v>Fuente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t="str">
        <x:v>Selector audio</x:v>
      </x:c>
      <x:c r="B2" t="str">
        <x:v>NE555</x:v>
      </x:c>
      <x:c r="C2" t="str">
        <x:v>Temporizador</x:v>
      </x:c>
      <x:c r="D2" t="n">
        <x:v>1</x:v>
      </x:c>
      <x:c r="E2" t="n">
        <x:v>2</x:v>
      </x:c>
      <x:c r="F2" t="str">
        <x:f>IF(E2&gt;=D2,"OK","Falta")</x:f>
        <x:v>OK</x:v>
      </x:c>
      <x:c r="G2" t="str">
        <x:v>Retardo/protección</x:v>
      </x:c>
      <x:c r="H2" t="str">
        <x:v>Kit</x:v>
      </x:c>
    </x:row>
    <x:row r="3">
      <x:c r="A3" t="str">
        <x:v>Selector audio</x:v>
      </x:c>
      <x:c r="B3" t="str">
        <x:v>1N4148</x:v>
      </x:c>
      <x:c r="C3" t="str">
        <x:v>Switching</x:v>
      </x:c>
      <x:c r="D3" t="n">
        <x:v>4</x:v>
      </x:c>
      <x:c r="E3" t="n">
        <x:v>25</x:v>
      </x:c>
      <x:c r="F3" t="str">
        <x:f>IF(E3&gt;=D3,"OK","Falta")</x:f>
        <x:v>OK</x:v>
      </x:c>
      <x:c r="G3" t="str">
        <x:v>Protección señal</x:v>
      </x:c>
      <x:c r="H3" t="str">
        <x:v>Kit</x:v>
      </x:c>
    </x:row>
    <x:row r="4">
      <x:c r="A4" t="str">
        <x:v>VU Meter</x:v>
      </x:c>
      <x:c r="B4" t="str">
        <x:v>LM358</x:v>
      </x:c>
      <x:c r="C4" t="str">
        <x:v>Dual OpAmp</x:v>
      </x:c>
      <x:c r="D4" t="n">
        <x:v>1</x:v>
      </x:c>
      <x:c r="E4" t="n">
        <x:v>2</x:v>
      </x:c>
      <x:c r="F4" t="str">
        <x:f>IF(E4&gt;=D4,"OK","Falta")</x:f>
        <x:v>OK</x:v>
      </x:c>
      <x:c r="G4" t="str">
        <x:v>Detector de nivel</x:v>
      </x:c>
      <x:c r="H4" t="str">
        <x:v>Kit</x:v>
      </x:c>
    </x:row>
    <x:row r="5">
      <x:c r="A5" t="str">
        <x:v>Preamplificador</x:v>
      </x:c>
      <x:c r="B5" t="str">
        <x:v>JRC4558</x:v>
      </x:c>
      <x:c r="C5" t="str">
        <x:v>Dual OpAmp</x:v>
      </x:c>
      <x:c r="D5" t="n">
        <x:v>1</x:v>
      </x:c>
      <x:c r="E5" t="n">
        <x:v>2</x:v>
      </x:c>
      <x:c r="F5" t="str">
        <x:f>IF(E5&gt;=D5,"OK","Falta")</x:f>
        <x:v>OK</x:v>
      </x:c>
      <x:c r="G5" t="str">
        <x:v>Audio preamp</x:v>
      </x:c>
      <x:c r="H5" t="str">
        <x:v>Kit</x:v>
      </x:c>
    </x:row>
    <x:row r="6">
      <x:c r="A6" t="str">
        <x:v>Desacoplo</x:v>
      </x:c>
      <x:c r="B6" t="str">
        <x:v>0.1uF</x:v>
      </x:c>
      <x:c r="C6" t="str">
        <x:v>104</x:v>
      </x:c>
      <x:c r="D6" t="n">
        <x:v>4</x:v>
      </x:c>
      <x:c r="E6" t="n">
        <x:v>10</x:v>
      </x:c>
      <x:c r="F6" t="str">
        <x:f>IF(E6&gt;=D6,"OK","Falta")</x:f>
        <x:v>OK</x:v>
      </x:c>
      <x:c r="G6" t="str">
        <x:v>Junto a ICs</x:v>
      </x:c>
      <x:c r="H6" t="str">
        <x:v>Kit</x:v>
      </x:c>
    </x:row>
    <x:row r="7">
      <x:c r="A7" t="str">
        <x:v>Fuente 12V</x:v>
      </x:c>
      <x:c r="B7" t="str">
        <x:v>1N5408</x:v>
      </x:c>
      <x:c r="C7" t="str">
        <x:v>Rectifier</x:v>
      </x:c>
      <x:c r="D7" t="n">
        <x:v>4</x:v>
      </x:c>
      <x:c r="E7" t="n">
        <x:v>10</x:v>
      </x:c>
      <x:c r="F7" t="str">
        <x:f>IF(E7&gt;=D7,"OK","Falta")</x:f>
        <x:v>OK</x:v>
      </x:c>
      <x:c r="G7" t="str">
        <x:v>Puente rectificador</x:v>
      </x:c>
      <x:c r="H7" t="str">
        <x:v>Kit</x:v>
      </x:c>
    </x:row>
  </x:sheetData>
  <x:conditionalFormatting sqref="F2:F7">
    <x:cfRule type="expression" dxfId="1" priority="1">
      <x:formula>F2="Falta"</x:formula>
    </x:cfRule>
    <x:cfRule type="expression" dxfId="2" priority="2">
      <x:formula>F2="OK"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f283ad4cd24ae3"/>
  </x:tableParts>
</x:worksheet>
</file>